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D:\PENDRIVE 2\Secretaria\TAREAS\Ministerio de Desarrollo Social y Deportes\AÑO 2022\Adq.Alim.Perecederos y No Perecederos (Sec.Familia)\Alimento Perecederos\NOTA 4 (Modif.monto final)\Adjuntos\Embebidos en NO-01563921\"/>
    </mc:Choice>
  </mc:AlternateContent>
  <xr:revisionPtr revIDLastSave="0" documentId="13_ncr:1_{B8C32FA3-AA7A-4408-9ED6-57EB6DBFF419}" xr6:coauthVersionLast="47" xr6:coauthVersionMax="47" xr10:uidLastSave="{00000000-0000-0000-0000-000000000000}"/>
  <bookViews>
    <workbookView xWindow="-120" yWindow="-120" windowWidth="20730" windowHeight="11160" tabRatio="500" firstSheet="3" activeTab="3" xr2:uid="{00000000-000D-0000-FFFF-FFFF00000000}"/>
  </bookViews>
  <sheets>
    <sheet name="gas" sheetId="4" state="hidden" r:id="rId1"/>
    <sheet name="limpieza" sheetId="5" state="hidden" r:id="rId2"/>
    <sheet name="alimento" sheetId="1" state="hidden" r:id="rId3"/>
    <sheet name="Necesidades Trimestrales AP" sheetId="9" r:id="rId4"/>
    <sheet name="LIM-IMP" sheetId="8" state="hidden" r:id="rId5"/>
  </sheets>
  <externalReferences>
    <externalReference r:id="rId6"/>
  </externalReferences>
  <definedNames>
    <definedName name="_xlnm.Print_Area" localSheetId="1">limpieza!$A$1:$I$118</definedName>
    <definedName name="_xlnm.Print_Area" localSheetId="3">'Necesidades Trimestrales AP'!$A$8:$I$65</definedName>
  </definedNames>
  <calcPr calcId="181029"/>
</workbook>
</file>

<file path=xl/calcChain.xml><?xml version="1.0" encoding="utf-8"?>
<calcChain xmlns="http://schemas.openxmlformats.org/spreadsheetml/2006/main">
  <c r="R71" i="9" l="1"/>
  <c r="S71" i="9"/>
  <c r="P71" i="9"/>
  <c r="O71" i="9"/>
  <c r="N71" i="9"/>
  <c r="M71" i="9"/>
  <c r="L71" i="9"/>
  <c r="K71" i="9"/>
  <c r="J71" i="9"/>
  <c r="I71" i="9"/>
  <c r="H71" i="9"/>
  <c r="G71" i="9"/>
  <c r="I64" i="9" l="1"/>
  <c r="I63" i="9"/>
  <c r="I58" i="9"/>
  <c r="I59" i="9"/>
  <c r="I60" i="9"/>
  <c r="I61" i="9"/>
  <c r="I62" i="9"/>
  <c r="I57" i="9" l="1"/>
  <c r="I56" i="9"/>
  <c r="I54" i="9"/>
  <c r="I53" i="9"/>
  <c r="I52" i="9"/>
  <c r="I51" i="9"/>
  <c r="I50" i="9"/>
  <c r="I49" i="9"/>
  <c r="I48" i="9"/>
  <c r="I47" i="9"/>
  <c r="I46" i="9"/>
  <c r="I45" i="9"/>
  <c r="I55" i="9" l="1"/>
  <c r="I44" i="9"/>
  <c r="C691" i="9" l="1"/>
  <c r="I43" i="9" l="1"/>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65" i="9" l="1"/>
  <c r="I11" i="8"/>
  <c r="I10" i="8"/>
  <c r="I9" i="8"/>
  <c r="E111" i="5"/>
  <c r="B111" i="5"/>
  <c r="E76" i="5"/>
  <c r="B76" i="5"/>
  <c r="B41" i="5"/>
  <c r="E41" i="5"/>
  <c r="E39" i="4"/>
  <c r="B39" i="4"/>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B547" i="1"/>
  <c r="E1081" i="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c r="D37" i="1"/>
  <c r="I11" i="5"/>
  <c r="I12" i="5"/>
  <c r="I10" i="5"/>
  <c r="I10" i="4"/>
  <c r="D26" i="1"/>
  <c r="D27" i="1"/>
  <c r="D17" i="1"/>
  <c r="D18" i="1"/>
  <c r="D21" i="1"/>
  <c r="D22" i="1"/>
  <c r="D24" i="1"/>
  <c r="D25" i="1"/>
  <c r="D19" i="1"/>
  <c r="D30" i="1"/>
  <c r="D33" i="1"/>
  <c r="D34" i="1"/>
  <c r="D12" i="1"/>
  <c r="D15" i="1"/>
  <c r="D9" i="1"/>
</calcChain>
</file>

<file path=xl/sharedStrings.xml><?xml version="1.0" encoding="utf-8"?>
<sst xmlns="http://schemas.openxmlformats.org/spreadsheetml/2006/main" count="3207" uniqueCount="486">
  <si>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</si>
  <si>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</si>
  <si>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</si>
  <si>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</si>
  <si>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</si>
  <si>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</si>
  <si>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</si>
  <si>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</si>
  <si>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</si>
  <si>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</si>
  <si>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</si>
  <si>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</si>
  <si>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</si>
  <si>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</si>
  <si>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</si>
  <si>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</si>
  <si>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</si>
  <si>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</si>
  <si>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</si>
  <si>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</si>
  <si>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</si>
  <si>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</si>
  <si>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ALIMENTOS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</si>
  <si>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</si>
  <si>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</si>
  <si>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</si>
  <si>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</si>
  <si>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</si>
  <si>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</si>
  <si>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</si>
  <si>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</si>
  <si>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</si>
  <si>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</si>
  <si>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</si>
  <si>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</si>
  <si>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</si>
  <si>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</si>
  <si>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</si>
  <si>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</si>
  <si>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</si>
  <si>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</si>
  <si>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</si>
  <si>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</si>
  <si>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</si>
  <si>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</si>
  <si>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</si>
  <si>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</si>
  <si>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</si>
  <si>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</si>
  <si>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</si>
  <si>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</si>
  <si>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</si>
  <si>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</si>
  <si>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</si>
  <si>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</si>
  <si>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</si>
  <si>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</si>
  <si>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</si>
  <si>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</si>
  <si>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</si>
  <si>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</si>
  <si>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</si>
  <si>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</si>
  <si>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</si>
  <si>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</si>
  <si>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</si>
  <si>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</si>
  <si>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2.5.6-798.8</t>
  </si>
  <si>
    <t>COMBUSTIBLES Y LUBRICANTES</t>
  </si>
  <si>
    <t>2.5.6</t>
  </si>
  <si>
    <t>GAS EN GARRAFA; CAPACIDAD: 10 Kg</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</si>
  <si>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</si>
  <si>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</si>
  <si>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</si>
  <si>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</si>
  <si>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</si>
  <si>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</si>
  <si>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</si>
  <si>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</si>
  <si>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</si>
  <si>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</si>
  <si>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</si>
  <si>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GARRAFA X 10 KGS. TIPO COMERCIAL</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</si>
  <si>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</si>
  <si>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</si>
  <si>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</si>
  <si>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</si>
  <si>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</si>
  <si>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</si>
  <si>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</si>
  <si>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</si>
  <si>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</si>
  <si>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</si>
  <si>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</si>
  <si>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</si>
  <si>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</si>
  <si>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</si>
  <si>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</si>
  <si>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</si>
  <si>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</si>
  <si>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</si>
  <si>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</si>
  <si>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</si>
  <si>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</si>
  <si>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</si>
  <si>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</si>
  <si>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</si>
  <si>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</si>
  <si>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</si>
  <si>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</si>
  <si>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</si>
  <si>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</si>
  <si>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</si>
  <si>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</si>
  <si>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</si>
  <si>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</si>
  <si>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</si>
  <si>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</si>
  <si>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</si>
  <si>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</si>
  <si>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</si>
  <si>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</si>
  <si>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</si>
  <si>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</si>
  <si>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</si>
  <si>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</si>
  <si>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</si>
  <si>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</si>
  <si>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</si>
  <si>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</si>
  <si>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</si>
  <si>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</si>
  <si>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</si>
  <si>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</si>
  <si>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</si>
  <si>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</si>
  <si>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</si>
  <si>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</si>
  <si>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</si>
  <si>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</si>
  <si>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</si>
  <si>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</si>
  <si>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</si>
  <si>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</si>
  <si>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</si>
  <si>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</si>
  <si>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</si>
  <si>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</si>
  <si>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</si>
  <si>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</si>
  <si>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</si>
  <si>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</si>
  <si>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</si>
  <si>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</si>
  <si>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</si>
  <si>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</si>
  <si>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</si>
  <si>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</si>
  <si>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</si>
  <si>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</si>
  <si>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</si>
  <si>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</si>
  <si>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</si>
  <si>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</si>
  <si>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</si>
  <si>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</si>
  <si>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</si>
  <si>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</si>
  <si>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</si>
  <si>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</si>
  <si>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</si>
  <si>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</si>
  <si>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</si>
  <si>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</si>
  <si>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</si>
  <si>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</si>
  <si>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</si>
  <si>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</si>
  <si>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</si>
  <si>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</si>
  <si>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</si>
  <si>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</si>
  <si>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</si>
  <si>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</si>
  <si>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</si>
  <si>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</si>
  <si>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</si>
  <si>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</si>
  <si>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</si>
  <si>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</si>
  <si>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</si>
  <si>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</si>
  <si>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</si>
  <si>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</si>
  <si>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</si>
  <si>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</si>
  <si>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</si>
  <si>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</si>
  <si>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</si>
  <si>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</si>
  <si>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</si>
  <si>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</si>
  <si>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</si>
  <si>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</si>
  <si>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</si>
  <si>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</si>
  <si>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</si>
  <si>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</si>
  <si>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</si>
  <si>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</si>
  <si>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</si>
  <si>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</si>
  <si>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</si>
  <si>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</si>
  <si>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</si>
  <si>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</si>
  <si>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</si>
  <si>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</si>
  <si>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</si>
  <si>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</si>
  <si>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</si>
  <si>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</si>
  <si>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</si>
  <si>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</si>
  <si>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</si>
  <si>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</si>
  <si>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</si>
  <si>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</si>
  <si>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</si>
  <si>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</si>
  <si>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</si>
  <si>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</si>
  <si>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</si>
  <si>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</si>
  <si>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</si>
  <si>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</si>
  <si>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</si>
  <si>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</si>
  <si>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</si>
  <si>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</si>
  <si>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</si>
  <si>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</si>
  <si>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</si>
  <si>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</si>
  <si>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</si>
  <si>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</si>
  <si>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*SE REALIZA LA ENTREGA DE 20 UNIDADES POR SEMANA (1 POR CADA COMEDOR) LO QUE HACE UNA SUMA DE 80 UNIDADES MENSUALES  QUE REPRESENTAN UN TOTAL DE 240 UNIDADES TRIMESTRALES</t>
  </si>
  <si>
    <t>Especificidades Item N° 31:</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</si>
  <si>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</si>
  <si>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</si>
  <si>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</si>
  <si>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</si>
  <si>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</si>
  <si>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</si>
  <si>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</si>
  <si>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</si>
  <si>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</si>
  <si>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</si>
  <si>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</si>
  <si>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Especificidades Item N° 32:</t>
  </si>
  <si>
    <t>Especificidades Item N° 33:</t>
  </si>
  <si>
    <t>Especificidades Item N° 34:</t>
  </si>
  <si>
    <t>Especificidades Item N° 35:</t>
  </si>
  <si>
    <t>TRIMESTRE</t>
  </si>
  <si>
    <t>INSTITUCION</t>
  </si>
  <si>
    <t>CDI CASA CUNA</t>
  </si>
  <si>
    <t>CENTRO DE CONTENCION HUAINA HUASI</t>
  </si>
  <si>
    <t>CENTRO DE CONTENCION SIPAS HUASI</t>
  </si>
  <si>
    <t>CENTRO JUVENIL SANTA ROSA</t>
  </si>
  <si>
    <t>RESIDENCIA DE ADULTOS MAYORES</t>
  </si>
  <si>
    <t>DIR. DEL NIÑO EN CONFLICTO CON LA LEY PENAL</t>
  </si>
  <si>
    <t>Especificidades Item N° 36:</t>
  </si>
  <si>
    <t>Especificidades Item N° 37:</t>
  </si>
  <si>
    <t>Especificidades Item N° 38:</t>
  </si>
  <si>
    <t>Especificidades Item N° 39:</t>
  </si>
  <si>
    <t>Especificidades Item N° 40:</t>
  </si>
  <si>
    <t>45- Ministerio de Desarrollo Social.-</t>
  </si>
  <si>
    <t>Especificidades Item N° 41:</t>
  </si>
  <si>
    <t>Especificidades Item N° 42:</t>
  </si>
  <si>
    <t>Especificidades Item N° 43:</t>
  </si>
  <si>
    <t>Especificidades Item N° 44:</t>
  </si>
  <si>
    <t>Especificidades Item N° 45:</t>
  </si>
  <si>
    <t>Especificidades Item N° 46:</t>
  </si>
  <si>
    <t>Especificidades Item N° 47:</t>
  </si>
  <si>
    <t>Especificidades Item N° 48:</t>
  </si>
  <si>
    <t>Especificidades Item N° 49:</t>
  </si>
  <si>
    <t>Especificidades Item N° 50:</t>
  </si>
  <si>
    <t>Especificidades Item N° 51:</t>
  </si>
  <si>
    <t>Especificidades Item N° 52:</t>
  </si>
  <si>
    <t>Especificidades Item N° 53:</t>
  </si>
  <si>
    <t>Especificidades Item N° 54:</t>
  </si>
  <si>
    <t>Especificidades Item N° 55:</t>
  </si>
  <si>
    <t>Especificidades Item N° 56:</t>
  </si>
  <si>
    <t>CASEROS N° 1050</t>
  </si>
  <si>
    <t>AVENIDA BELGRANO N° 750</t>
  </si>
  <si>
    <t>PASAJE HERNANDO DE PEDRAZA S/N°</t>
  </si>
  <si>
    <t>PASAJE LOS AGUEROS S/N° - VILLA PARQUE CHACABUCO</t>
  </si>
  <si>
    <t>MANUEL DE ZALAZAR S/N° SANTA ROSA, VALLE VIEJO.</t>
  </si>
  <si>
    <t>2.1.1-6546.34</t>
  </si>
  <si>
    <t>VERDURAS Y HORTALIZAS; VARIEDAD: ACELGA, ESTADO: EN HOJA, PRESENTACION: ATADO, PESO: SIN VALOR</t>
  </si>
  <si>
    <t>2.1.1-6546.154</t>
  </si>
  <si>
    <t>VERDURAS Y HORTALIZAS; ESTADO: NATURAL, PESO: SIN VALOR, VARIEDAD: AJO, PRESENTACION: UNIDAD</t>
  </si>
  <si>
    <t>2.1.1-6539.29</t>
  </si>
  <si>
    <t>FRUTAS; VARIEDAD: BANANA, ESTADO: NATURAL, PRESENTACION: GRANEL, PESO: SIN VALOR</t>
  </si>
  <si>
    <t>2.1.1-541.27</t>
  </si>
  <si>
    <t>CARNES; ESPECIE: VACUNA, CORTE: CUADRIL, TIPO: VACUNA</t>
  </si>
  <si>
    <t>2.1.1-541.154</t>
  </si>
  <si>
    <t>CARNES; ESPECIE: CARNE VACUNA, CORTE: MILANESA NALGA, TIPO: CARNE VACUNA</t>
  </si>
  <si>
    <t>2.1.1-541.164</t>
  </si>
  <si>
    <t>CARNES; TIPO: PORCINA, CORTE: COSTELETA</t>
  </si>
  <si>
    <t>2.1.1-611.1</t>
  </si>
  <si>
    <t>CREMAS; CONTENIDO: 200 CM3, TIPO: LARGA VIDA, ENVASE: CAJA CARTON, PRESENTACION: 200 CM3</t>
  </si>
  <si>
    <t>2.1.1-6539.55</t>
  </si>
  <si>
    <t>FRUTAS; ESTADO: NATURAL, VARIEDAD: DURAZNO, PRESENTACION: GRANEL, PESO: SIN VALOR GR</t>
  </si>
  <si>
    <t>2.1.1-483.37</t>
  </si>
  <si>
    <t>HUEVO DE GALLINA; TAMAÑO: GRANDE, COLOR: COLOR, PRESENTACION: 30 UN</t>
  </si>
  <si>
    <t>2.1.1-6546.190</t>
  </si>
  <si>
    <t>VERDURAS Y HORTALIZAS; VARIEDAD: LECHUGA CRIOLLA, ESTADO: NATURAL, PRESENTACION: GRANEL, PESO: SIN VALOR</t>
  </si>
  <si>
    <t>2.1.1-6539.16</t>
  </si>
  <si>
    <t>FRUTAS; VARIEDAD: MANZANA RED DELICIOSA, ESTADO: NATURAL, PRESENTACION: GRANEL, PESO: SIN VALOR</t>
  </si>
  <si>
    <t>2.1.1-515.12</t>
  </si>
  <si>
    <t>MANTECAS; TIPO: COMUN, CONSISTENCIA: EN PAN, SAL: CON, PESO: 500 GR</t>
  </si>
  <si>
    <t>2.1.1-2429.1</t>
  </si>
  <si>
    <t>TAPAS P/TARTAS; TIPO: REDONDA, MASA: CASERA, PRESENTACION: BOLSA</t>
  </si>
  <si>
    <t>2.1.1-6546.94</t>
  </si>
  <si>
    <t>VERDURAS Y HORTALIZAS; VARIEDAD: MORRON ROJO, ESTADO: NATURAL, PRESENTACION: GRANEL, PESO: SIN VALOR</t>
  </si>
  <si>
    <t>2.1.1-6539.6</t>
  </si>
  <si>
    <t>FRUTAS; ESTADO: NATURAL, VARIEDAD: NARANJA ESPECIAL, PRESENTACION: A GRANEL, PESO: SIN VALOR</t>
  </si>
  <si>
    <t>2.1.1-6539.31</t>
  </si>
  <si>
    <t>FRUTAS; VARIEDAD: PERA AMARILLA, PRESENTACION: GRANEL, ESTADO: NATURAL, PESO: SIN VALOR</t>
  </si>
  <si>
    <t>2.1.1-6546.132</t>
  </si>
  <si>
    <t>VERDURAS Y HORTALIZAS; VARIEDAD: PEREJIL, ESTADO: NATURAL, PRESENTACION: GRANEL, PESO: SIN VALOR</t>
  </si>
  <si>
    <t>2.1.1-621.7</t>
  </si>
  <si>
    <t>AVES; ESPECIE: POLLO, EVISCERADO: SIN MENUDOS, PRESENTACION: ENTERO, TIPO: POLLO</t>
  </si>
  <si>
    <t>2.1.1-541.34</t>
  </si>
  <si>
    <t>CARNES; CORTE: OSOBUCO, TIPO: VACUNA, ESPECIE: VACUNA</t>
  </si>
  <si>
    <t>2.1.1-542.205</t>
  </si>
  <si>
    <t>QUESOS; TIPO: CREMOSO, PRESENTACION: ENVASE X 4 Kg, ELEM. TRANSPORTE: SIN, MATERIAL ELEM. TRANSPORTE: SIN, MATERIAL ENVASE: BOLSA TERMOCONTRAIBLE, CERTIFICADO FORESTAL (GFS): SIN, LIBRE DE GLUTEN: SI</t>
  </si>
  <si>
    <t>2.1.1-542.240</t>
  </si>
  <si>
    <t>QUESOS; TIPO: SARDO, PRESENTACION: HORMA, ELEM. TRANSPORTE: SIN, MATERIAL ELEM. TRANSPORTE: SIN, MATERIAL ENVASE: SIN, CERTIFICADO FORESTAL (GFS): SIN, LIBRE DE GLUTEN: A DEFINIR</t>
  </si>
  <si>
    <t>2.1.1-542.197</t>
  </si>
  <si>
    <t>QUESOS; TIPO: TYBO, PRESENTACION: HORMA, ELEM. TRANSPORTE: SIN, MATERIAL ELEM. TRANSPORTE: SIN, MATERIAL ENVASE: PLASTICO, CERTIFICADO FORESTAL (GFS): SIN, LIBRE DE GLUTEN: NO</t>
  </si>
  <si>
    <t>2.1.1-707.38</t>
  </si>
  <si>
    <t>PASTAS FRESCAS; VARIEDAD: RAVIOL, RELLENO: VERDURA Y POLLO, PRESENTACION: ENVASE X 500 GR</t>
  </si>
  <si>
    <t>2.1.1-6546.124</t>
  </si>
  <si>
    <t>VERDURAS Y HORTALIZAS; PESO: SIN VALOR, VARIEDAD: REMOLACHA, ESTADO: NATURAL, PRESENTACION: GRANEL</t>
  </si>
  <si>
    <t>2.1.1-457.6</t>
  </si>
  <si>
    <t>SALCHICHAS; UNIDADES X PAQUETE: 6, TIPO: SIN VALOR, PRESENTACION: 6</t>
  </si>
  <si>
    <t>2.1.1-6546.2</t>
  </si>
  <si>
    <t>VERDURAS Y HORTALIZAS; VARIEDAD: TOMATE REDONDO, ESTADO: NATURAL, PRESENTACION: GRANEL, PESO: SIN VALOR</t>
  </si>
  <si>
    <t>2.1.1-456.22</t>
  </si>
  <si>
    <t>YOGHURT; CAPACIDAD: 1 L, SABOR: FRUTILLA, TIPO: ENTERO, ENVASE: SACHET, AGREGADO: SIN VALOR, CONSISTENCIA: BEBIBLE, PRESENTACION: SACHET X 1 L</t>
  </si>
  <si>
    <t>2.1.1-6546.166</t>
  </si>
  <si>
    <t>VERDURAS Y HORTALIZAS; PRESENTACION: GRANEL, VARIEDAD: ZANAHORIA, ESTADO: NATURAL, PESO: SIN VALOR</t>
  </si>
  <si>
    <t>2.1.1-6546.150</t>
  </si>
  <si>
    <t>VERDURAS Y HORTALIZAS; ESTADO: NATURAL, PESO: SIN VALOR, VARIEDAD: ZAPALLITO REDONDO, PRESENTACION: GRANEL</t>
  </si>
  <si>
    <t>2.1.1-6546.188</t>
  </si>
  <si>
    <t>VERDURAS Y HORTALIZAS; ESTADO: NATURAL, PRESENTACION: GRANEL, PESO: SIN VALOR, VARIEDAD: ZAPALLO CRIOLLO</t>
  </si>
  <si>
    <t>2.1.1-6546.158</t>
  </si>
  <si>
    <t>VERDURAS Y HORTALIZAS; ESTADO: NATURAL, VARIEDAD: ZAPALLO ANCO, PRESENTACION: GRANEL, PESO: SIN VALOR</t>
  </si>
  <si>
    <t>AVENIDA ALEM Nº 908</t>
  </si>
  <si>
    <t>*SE REALIZA LA ENTREGA DE 52 KG POR SEMANA ( DISTRIBUIDOS SEGÚN DETALLE PARA CADA INSTITUCION)   LO QUE HACE UNA SUMA DE 208 KG MENSUALES  QUE REPRESENTA UN TOTAL DE 624 KG TRIMESTRALES</t>
  </si>
  <si>
    <t>*SE REALIZA LA ENTREGA DE 13 UNIDADES POR SEMANA ( DISTRIBUIDOS SEGÚN DETALLE PARA CADA INSTITUCION)   LO QUE HACE UNA SUMA DE 52 UNIDADES MENSUALES  QUE REPRESENTA UN TOTAL DE 156 UNIDADES TRIMESTRALES</t>
  </si>
  <si>
    <t>*SE REALIZA LA ENTREGA DE 19 KG POR SEMANA ( DISTRIBUIDOS SEGÚN DETALLE PARA CADA INSTITUCION)   LO QUE HACE UNA SUMA DE 76 KG MENSUALES  QUE REPRESENTA UN TOTAL DE 228 KG TRIMESTRALES</t>
  </si>
  <si>
    <t>*SE REALIZA LA ENTREGA DE 24 KG POR SEMANA ( DISTRIBUIDOS SEGÚN DETALLE PARA CADA INSTITUCION)   LO QUE HACE UNA SUMA DE 96 KG MENSUALES QUE REPRESENTA UN TOTAL DE 288 KG TRIMESTRALES</t>
  </si>
  <si>
    <t>HOGAR DE ANCIANOS DE BELEN</t>
  </si>
  <si>
    <t>HOGAR DE ANCIANOS DE TINOGASTA</t>
  </si>
  <si>
    <t>*SE REALIZA LA ENTREGA DE 59 KG POR SEMANA ( DISTRIBUIDOS SEGÚN DETALLE PARA CADA INSTITUCION)   LO QUE HACE UNA SUMA DE 236 KG MENSUALES  QUE REPRESENTA UN TOTAL DE 708 KG TRIMESTRALES</t>
  </si>
  <si>
    <t>*SE REALIZA LA ENTREGA DE 133 KG POR SEMANA ( DISTRIBUIDOS SEGÚN DETALLE PARA CADA INSTITUCION)   LO QUE HACE UNA SUMA DE 532 KG MENSUALES  QUE REPRESENTA UN TOTAL DE 1596 KG TRIMESTRALES</t>
  </si>
  <si>
    <t>2.1.1-6546.175</t>
  </si>
  <si>
    <t>VERDURAS Y HORTALIZAS; ESTADO: NATURAL, VARIEDAD: BATATA, PRESENTACION: GRANEL, PESO: SIN VALOR</t>
  </si>
  <si>
    <t>*SE REALIZA LA ENTREGA DE 2 KG POR SEMANA ( DISTRIBUIDOS SEGÚN DETALLE PARA CADA INSTITUCION)   LO QUE HACE UNA SUMA DE 8 KG MENSUALES QUE REPRESENTA UN TOTAL DE 24 KG TRIMESTRALES</t>
  </si>
  <si>
    <t>*SE REALIZA LA ENTREGA DE 12 KG POR SEMANA ( DISTRIBUIDOS SEGÚN DETALLE PARA CADA INSTITUCION)   LO QUE HACE UNA SUMA DE 48 KG MENSUALES  QUE REPRESENTA UN TOTAL DE 144 KG TRIMESTRALES</t>
  </si>
  <si>
    <t>*SE REALIZA LA ENTREGA DE 59 UNIDADES POR SEMANA ( DISTRIBUIDOS SEGÚN DETALLE PARA CADA INSTITUCION)   LO QUE HACE UNA SUMA DE 236 UNIDADES MENSUALES  QUE REPRESENTA UN TOTAL DE 708 UNIDADES TRIMESTRALES</t>
  </si>
  <si>
    <t>*SE REALIZA LA ENTREGA DE 21 UNIDADES POR SEMANA ( DISTRIBUIDOS SEGÚN DETALLE PARA CADA INSTITUCION) LO QUE HACE UNA SUMA DE 84 UNIDADES MENSUALES  QUE REPRESENTAN UN TOTAL 252 DE  UNIDADES TRIMESTRALES</t>
  </si>
  <si>
    <t>*SE REALIZA LA ENTREGA DE 46 KG POR SEMANA ( DISTRIBUIDOS SEGÚN DETALLE PARA CADA INSTITUCION)   LO QUE HACE UNA SUMA DE 184 KG MENSUALES  QUE REPRESENTA UN TOTAL DE 552 KG TRIMESTRALES</t>
  </si>
  <si>
    <t>*SE REALIZA LA ENTREGA DE 38 KG POR SEMANA ( DISTRIBUIDOS SEGÚN DETALLE PARA CADA INSTITUCION)   LO QUE HACE UNA SUMA DE 152 KG MENSUALES  QUE REPRESENTA UN TOTAL DE 456  KG TRIMESTRALES</t>
  </si>
  <si>
    <t>*SE REALIZA LA ENTREGA DE 25 KG POR SEMANA ( DISTRIBUIDOS SEGÚN DETALLE PARA CADA INSTITUCION)   LO QUE HACE UNA SUMA DE 100 KG MENSUALES  QUE REPRESENTA UN TOTAL DE 300 KG TRIMESTRALES</t>
  </si>
  <si>
    <t>*SE REALIZA LA ENTREGA DE 60 KG POR SEMANA ( DISTRIBUIDOS SEGÚN DETALLE PARA CADA INSTITUCION)   LO QUE HACE UNA SUMA DE 240 KG MENSUALES  QUE REPRESENTA UN TOTAL DE 720 KG TRIMESTRALES</t>
  </si>
  <si>
    <t>2.1.1-6546.49</t>
  </si>
  <si>
    <t>VERDURAS Y HORTALIZAS; VARIEDAD: CHAUCHA, PRESENTACION: GRANEL, ESTADO: NATURAL, PESO: SIN VALOR</t>
  </si>
  <si>
    <t>2.1.1-6546.177</t>
  </si>
  <si>
    <t>VERDURAS Y HORTALIZAS; VARIEDAD: BERENJENA, ESTADO: NATURAL, PRESENTACION: GRANEL, PESO: SIN VALOR</t>
  </si>
  <si>
    <t>*SE REALIZA LA ENTREGA DE 3 KG POR SEMANA ( DISTRIBUIDOS SEGÚN DETALLE PARA CADA INSTITUCION)   LO QUE HACE UNA SUMA DE 12 KG MENSUALES QUE REPRESENTA UN TOTAL DE 36 KG TRIMESTRALES</t>
  </si>
  <si>
    <t>2.1.1-6546.113</t>
  </si>
  <si>
    <t>VERDURAS Y HORTALIZAS; ESTADO: NATURAL, PESO: SIN VALOR, VARIEDAD: REPOLLO BLANCO, PRESENTACION: GRANEL</t>
  </si>
  <si>
    <t>*SE REALIZA LA ENTREGA DE 4 UNIDADES POR SEMANA ( DISTRIBUIDOS SEGÚN DETALLE PARA CADA INSTITUCION)   LO QUE HACE UNA SUMA DE 16 UNIDADES MENSUALES QUE REPRESENTA UN TOTAL DE 48 UNIDADES TRIMESTRALES</t>
  </si>
  <si>
    <t>2.1.1-6546.169</t>
  </si>
  <si>
    <t>VERDURAS Y HORTALIZAS; VARIEDAD: ESPINACA, PRESENTACION: ATADO, ESTADO: NATURAL, PESO: SIN VALOR</t>
  </si>
  <si>
    <t>2.1.1-6546.280</t>
  </si>
  <si>
    <t>VERDURAS Y HORTALIZAS; VARIEDAD: RUCULA, ESTADO: NATURAL, PRESENTACION: GRANEL, PESO: SIN VALOR</t>
  </si>
  <si>
    <t>2.1.1-6539.82</t>
  </si>
  <si>
    <t>FRUTAS; VARIEDAD: LIMON, ESTADO: NATURAL, PRESENTACION: GRANEL, PESO: SIN VALOR</t>
  </si>
  <si>
    <t>2.1.1-6539.104</t>
  </si>
  <si>
    <t>FRUTAS; VARIEDAD: PALTA, ESTADO: NATURAL, PRESENTACION: GRANEL, PESO: SIN VALOR</t>
  </si>
  <si>
    <t>2.1.1-6546.54</t>
  </si>
  <si>
    <t>VERDURAS Y HORTALIZAS; VARIEDAD: CHOCLO, ESTADO: NATURAL, PRESENTACION: GRANEL, PESO: SIN VALOR</t>
  </si>
  <si>
    <t>*SE REALIZA LA ENTREGA DE 12 UNIDADES POR SEMANA ( DISTRIBUIDOS SEGÚN DETALLE PARA CADA INSTITUCION)   LO QUE HACE UNA SUMA DE 48 UNIDADES MENSUALES QUE REPRESENTA UN TOTAL DE 144 UNIDADES TRIMESTRALES</t>
  </si>
  <si>
    <t>2.1.1-6546.222</t>
  </si>
  <si>
    <t>VERDURAS Y HORTALIZAS; VARIEDAD: BROCOLI, ESTADO: NATURAL, PRESENTACION: ENVASE, PESO: 1 Kg</t>
  </si>
  <si>
    <t>*SE REALIZA LA ENTREGA DE 10 UNIDADES POR SEMANA ( DISTRIBUIDOS SEGÚN DETALLE PARA CADA INSTITUCION)   LO QUE HACE UNA SUMA DE 40 UNIDADES MENSUALES  QUE REPRESENTA UN TOTAL DE 120 UNIDADES TRIMESTRALES</t>
  </si>
  <si>
    <t>2.1.1-669.20</t>
  </si>
  <si>
    <t>PANES; PRESENTACION: UNIDAD, TIPO: PEBETE</t>
  </si>
  <si>
    <t>2.1.1-669.64</t>
  </si>
  <si>
    <t>PANES; TIPO: FRANCES, PRESENTACION: ENVASE X 1 Kg</t>
  </si>
  <si>
    <t>2.1.1-669.34</t>
  </si>
  <si>
    <t>PANES; TIPO: GALLETA C/GRASA, PRESENTACION: GRANEL</t>
  </si>
  <si>
    <t>*SE REALIZA LA ENTREGA DE 37 UNIDADES POR SEMANA ( DISTRIBUIDOS SEGÚN DETALLE PARA CADA INSTITUCION)   LO QUE HACE UNA SUMA DE 148 UNIDADES MENSUALES  QUE REPRESENTA UN TOTAL DE 444 UNIDADES TRIMESTRALES</t>
  </si>
  <si>
    <t>*SE REALIZA LA ENTREGA DE 28 UNIDADES POR SEMANA ( DISTRIBUIDOS SEGÚN DETALLE PARA CADA INSTITUCION)   LO QUE HACE UNA SUMA DE 112 UNIDADES MENSUALES  QUE REPRESENTA UN TOTAL DE 336 UNIDADES TRIMESTRALES</t>
  </si>
  <si>
    <t>*SE REALIZA LA ENTREGA DE 5 UNIDADES POR SEMANA ( DISTRIBUIDOS SEGÚN DETALLE PARA CADA INSTITUCION)  LO QUE HACE UNA SUMA DE 20 UNIDADES MENSUALES QUE REPRESENTA UN TOTAL DE 60 UNIDADES TRIMESTRALES</t>
  </si>
  <si>
    <t>*SE REALIZA LA ENTREGA DE 15 KG POR SEMANA ( DISTRIBUIDOS SEGÚN DETALLE PARA CADA INSTITUCION)   LO QUE HACE UNA SUMA DE 60  KG MENSUALES  QUE REPRESENTA UN TOTAL DE 180 KG TRIMESTRALES</t>
  </si>
  <si>
    <t>*SE REALIZA LA ENTREGA DE 24  KG POR SEMANA ( DISTRIBUIDOS SEGÚN DETALLE PARA CADA INSTITUCION)   LO QUE HACE UNA SUMA DE 96 KG MENSUALES  QUE REPRESENTA UN TOTAL DE 288 KG TRIMESTRALES</t>
  </si>
  <si>
    <t>2.1.1-541.45</t>
  </si>
  <si>
    <t>CARNES; CORTE: HIGADO, ESPECIE: VACUNA, TIPO: VACUNA</t>
  </si>
  <si>
    <t>*SE REALIZA LA ENTREGA DE 3 KG POR SEMANA ( DISTRIBUIDOS SEGÚN DETALLE PARA CADA INSTITUCION)  LO QUE HACE UNA SUMA DE 12 KG MENSUALES QUE REPRESENTA UN TOTAL DE 36 KG TRIMESTRALES</t>
  </si>
  <si>
    <t>2.1.1-621.12</t>
  </si>
  <si>
    <t>AVES; ESPECIE: POLLO, PRESENTACION: SUPREMA, EVISCERADO: SIN VALOR, TIPO: POLLO</t>
  </si>
  <si>
    <t>2.1.1-541.47</t>
  </si>
  <si>
    <t>CARNES; CORTE: MORCILLA, TIPO: VACUNA, ESPECIE: VACUNA</t>
  </si>
  <si>
    <t>2.1.1-541.33</t>
  </si>
  <si>
    <t>CARNES; ESPECIE: VACUNA, CORTE: BOLA DE LOMO, TIPO: VACUNA</t>
  </si>
  <si>
    <t>2.1.1-541.46</t>
  </si>
  <si>
    <t>CARNES; ESPECIE: VACUNA, CORTE: CHORIZO, TIPO: VACUNA</t>
  </si>
  <si>
    <t>*SE REALIZA LA ENTREGA DE 1 KG POR SEMANA ( DISTRIBUIDOS SEGÚN DETALLE PARA CADA INSTITUCION)  LO QUE HACE UNA SUMA DE 4 KG MENSUALES QUE REPRESENTA UN TOTAL DE 12 KG TRIMESTRALES</t>
  </si>
  <si>
    <t>2.1.1-542.143</t>
  </si>
  <si>
    <t>QUESOS; TIPO: UNTABLE, PRESENTACION: ENVASE X 400 GR, ELEM. TRANSPORTE: SIN, MATERIAL ELEM. TRANSPORTE: SIN, MATERIAL ENVASE: PLASTICO 6 (PS), CERTIFICADO FORESTAL (GFS): SIN</t>
  </si>
  <si>
    <t>11 DE SEPTIEMBRE S/N - BELEN</t>
  </si>
  <si>
    <t>PRESIDENTE PERON ESQUINA RUCHELLY - TINOGASTA</t>
  </si>
  <si>
    <t>DIARIA</t>
  </si>
  <si>
    <t>PAQUETE</t>
  </si>
  <si>
    <t>SACHET</t>
  </si>
  <si>
    <t>ATADO</t>
  </si>
  <si>
    <t>MAPLE</t>
  </si>
  <si>
    <t>2.1.1-969.110</t>
  </si>
  <si>
    <t>FIAMBRES; TIPO: JAMON COCIDO, PRESENTACION: ENVASE X 3 Kg</t>
  </si>
  <si>
    <t>2.1.1-6546.178</t>
  </si>
  <si>
    <t>VERDURAS Y HORTALIZAS; VARIEDAD: ZUCHINI, ESTADO: NATURAL, PRESENTACION: GRANEL, PESO: SIN VALOR</t>
  </si>
  <si>
    <t>*SE REALIZA LA ENTREGA DE 5 KG POR SEMANA ( DISTRIBUIDOS SEGÚN DETALLE PARA CADA INSTITUCION)   LO QUE HACE UNA SUMA DE 20 KG MENSUALES QUE REPRESENTA UN TOTAL DE 60 KG TRIMESTRALES</t>
  </si>
  <si>
    <t>*SE REALIZA LA ENTREGA DE 36 KG POR SEMANA ( DISTRIBUIDOS SEGÚN DETALLE PARA CADA INSTITUCION)   LO QUE HACE UNA SUMA DE 144 KG MENSUALES  QUE REPRESENTA UN TOTAL DE 432 KG TRIMESTRALES</t>
  </si>
  <si>
    <t>*SE REALIZA LA ENTREGA DE 20 KG POR SEMANA ( DISTRIBUIDOS SEGÚN DETALLE PARA CADA INSTITUCION)   LO QUE HACE UNA SUMA DE 80 KG MENSUALES  QUE REPRESENTA UN TOTAL DE 240 KG TRIMESTRALES</t>
  </si>
  <si>
    <t>*SE REALIZA LA ENTREGA DE 55 KG POR SEMANA ( DISTRIBUIDOS SEGÚN DETALLE PARA CADA INSTITUCION)   LO QUE HACE UNA SUMA DE 220 KG MENSUALES  QUE REPRESENTA UN TOTAL DE 660 KG TRIMESTRALES</t>
  </si>
  <si>
    <t xml:space="preserve"> BANANA - PESO  APROXIMADO 200 GRS POR CADA BANANA </t>
  </si>
  <si>
    <t>ACELGA FRESCA EN HOJA - PRESENTACION: ATADO X 500 GRS APROXIMADAMENTE CADA UNO</t>
  </si>
  <si>
    <t>CARNE VACUNA, CORTE: CUADRIL, PIEZA ENTERA</t>
  </si>
  <si>
    <t>LECHUGA CRIOLLA, PESO  APROXIMADO 500 GRS POR CADA ATADO</t>
  </si>
  <si>
    <t>MANZANA  - PESO APROXIMADO POR MANZANA 200 GRS</t>
  </si>
  <si>
    <t xml:space="preserve">MORRON ROJO, PESO APROXIMADO 200 GRS POR CADA MORRON </t>
  </si>
  <si>
    <t xml:space="preserve">PERA AMARILLA PESO 150 GRS APROXIMADO X PERA </t>
  </si>
  <si>
    <t>POLLO ENTERO, PESO APROXIMADO DE 3 KG CADA POLLO</t>
  </si>
  <si>
    <t>SALCHICHAS COCIDAS SIN PIEL - UNIDADES X PAQUETE DE 6</t>
  </si>
  <si>
    <t>RUCULA FRESCA - ATADO DE APROXIMADAMENTE 150 GRS</t>
  </si>
  <si>
    <t>CEBOLLA DE VERDEO FRESCA - ATADO DE APROXIMADAMENTE 300 GRS</t>
  </si>
  <si>
    <t xml:space="preserve"> PEREJIL FRESCO - ATADO DE APROXIMADAMENTE 200 GRS</t>
  </si>
  <si>
    <t xml:space="preserve">NARANJA CRIOLLA PARA JUGO - PESO APROXIMADO POR NARANJA 200 GRS </t>
  </si>
  <si>
    <t xml:space="preserve"> ESPINACA FRESCA - ATADO DE APROXIMADAMENTE 300 GRS</t>
  </si>
  <si>
    <t>CHOCLO - PESO APROXIMADO DE 200 GRS CADA CHOCLO</t>
  </si>
  <si>
    <t xml:space="preserve">QUESO UNTABLE CLASICO EN ENVASE X 400 GRS  </t>
  </si>
  <si>
    <t xml:space="preserve"> DURAZNO AMARILLO, PESO  APROXIMADO 150 GRS POR CADA DURAZNO</t>
  </si>
  <si>
    <t>CARNES VACUNA - BOLA DE LOMO - PIEZA ENTERA</t>
  </si>
  <si>
    <t>AJO - PESO APROXIMADO 120 GRS X UNIDAD</t>
  </si>
  <si>
    <t>*SE REALIZA LA ENTREGA DE 9 UNIDADES POR SEMANA ( DISTRIBUIDOS SEGÚN DETALLE PARA CADA INSTITUCION)  LO QUE HACE UNA SUMA DE 36 UNIDADES MENSUALES  QUE REPRESENTA UN TOTAL DE 108 UNIDADES TRIMESTRALES</t>
  </si>
  <si>
    <t xml:space="preserve">1 MAPLE = 30 UNIDADES = 1 CARTON </t>
  </si>
  <si>
    <t>*SE REALIZA LA ENTREGA DE 23 MAPLES POR SEMANA ( DISTRIBUIDOS SEGÚN DETALLE PARA CADA INSTITUCION)   LO QUE HACE UNA SUMA DE 92 MAPLES MENSUALES  QUE REPRESENTA UN TOTAL DE 276 MAPLES TRIMESTRALES</t>
  </si>
  <si>
    <t>2 UNIDADES POR BOLSA, CON SEPARADOR</t>
  </si>
  <si>
    <t>LA PRESENTACION DEBERA SER EN HORMA DE 4 KG</t>
  </si>
  <si>
    <t>HORMA</t>
  </si>
  <si>
    <t>QUESO SARDO, PRESENTACION EN HORMA DE 3 KG. APROXIMADAMENTE - LIBRE DE GLUTEN: NO</t>
  </si>
  <si>
    <t>QUESOS TYBO, PRESENTACION EN HORMA DE 3 KG. APROXIMADAMENTE - LIBRE DE GLUTEN: NO</t>
  </si>
  <si>
    <t>*SE REALIZA LA ENTREGA DE 7 HORMAS POR SEMANA ( DISTRIBUIDOS SEGÚN DETALLE PARA CADA INSTITUCION)   LO QUE HACE UNA SUMA DE 28 HORMAS MENSUALES  QUE REPRESENTA UN TOTAL DE 84 HORMAS TRIMESTRALES</t>
  </si>
  <si>
    <t>*SE REALIZA LA ENTREGA DE 5 HORMAS POR SEMANA ( DISTRIBUIDOS SEGÚN DETALLE PARA CADA INSTITUCION)   LO QUE HACE UNA SUMA DE 20 HORMAS MENSUALES  QUE REPRESENTA UN TOTAL DE 60 HORMAS TRIMESTRALES</t>
  </si>
  <si>
    <t>PAN TIPO PEBETE DE 60 GRS. APROXIMADAMENTE CADA PEBETE</t>
  </si>
  <si>
    <t>*SE REALIZA LA ENTREGA DE 54 ATADOS POR SEMANA (DISTRIBUIDOS SEGÚN DETALLE PARA CADA INSTITUCION) LO QUE HACE UNA SUMA DE 216 ATADOS MENSUALES  QUE REPRESENTAN UN TOTAL DE 648 ATADOS TRIMESTRALES</t>
  </si>
  <si>
    <t>*SE REALIZA LA ENTREGA DE 35 KG POR SEMANA (DISTRIBUIDOS SEGÚN DETALLE PARA CADA INSTITUCION) LO QUE HACE UNA SUMA DE 140 KG MENSUALES QUE REPRESENTA UN TOTAL DE 420 KG TRIMESTRALES</t>
  </si>
  <si>
    <t>*SE REALIZA LA ENTREGA DE 64 KG POR SEMANA (DISTRIBUIDOS SEGÚN DETALLE PARA CADA INSTITUCION) LO QUE HACE UNA SUMA DE 256 KG MENSUALES  QUE REPRESENTA UN TOTAL DE 768 KG TRIMESTRALES</t>
  </si>
  <si>
    <t>*SE REALIZA LA ENTREGA DE 27 KG POR SEMANA (DISTRIBUIDOS SEGÚN DETALLE PARA CADA INSTITUCION)   LO QUE HACE UNA SUMA DE 108 KG MENSUALES QUE REPRESENTA UN TOTAL DE 324 KG TRIMESTRALES</t>
  </si>
  <si>
    <t>*SE REALIZA LA ENTREGA DE 23 ATADOS POR SEMANA ( DISTRIBUIDOS SEGÚN DETALLE PARA CADA INSTITUCION) LO QUE HACE UNA SUMA DE 92 ATADOS MENSUALES  QUE REPRESENTA UN TOTAL DE 276 ATADOS TRIMESTRALES</t>
  </si>
  <si>
    <t>*SE REALIZA LA ENTREGA DE 12 ATADOS POR SEMANA ( DISTRIBUIDOS SEGÚN DETALLE PARA CADA INSTITUCION) LO QUE HACE UNA SUMA DE 48 ATADOS MENSUALES  QUE REPRESENTA UN TOTAL DE 144 ATADOS TRIMESTRALES</t>
  </si>
  <si>
    <t>*SE REALIZA LA ENTREGA DE 23 UNIDADES POR SEMANA ( DISTRIBUIDOS SEGÚN DETALLE PARA CADA INSTITUCION) LO QUE HACE UNA SUMA DE 92 UNIDADES MENSUALES  QUE REPRESENTA UN TOTAL DE 276 UNIDADES TRIMESTRALES</t>
  </si>
  <si>
    <t>*SE REALIZA LA ENTREGA DE 11 HORMAS POR SEMANA (DISTRIBUIDOS SEGÚN DETALLE PARA CADA INSTITUCION) LO QUE HACE UNA SUMA DE 44 HORMAS MENSUALES  QUE REPRESENTA UN TOTAL DE 132 HORMAS TRIMESTRALES</t>
  </si>
  <si>
    <t>*SE REALIZA LA ENTREGA DE 18 PAQUETES POR SEMANA ( DISTRIBUIDOS SEGÚN DETALLE PARA CADA INSTITUCION)   LO QUE HACE UNA SUMA DE 72 PAQUETES MENSUALES  QUE REPRESENTA UN TOTAL DE 216 PAQUETES TRIMESTRALES</t>
  </si>
  <si>
    <t>*SE REALIZA LA ENTREGA DE 56 SACHET POR SEMANA ( DISTRIBUIDOS SEGÚN DETALLE PARA CADA INSTITUCION)   LO QUE HACE UNA SUMA DE 224 SACHET MENSUALES  QUE REPRESENTA UN TOTAL DE 672 SACHET TRIMESTRALES</t>
  </si>
  <si>
    <t>*SE REALIZA LA ENTREGA DE 3 ATADOS POR SEMANA ( DISTRIBUIDOS SEGÚN DETALLE PARA CADA INSTITUCION)   LO QUE HACE UNA SUMA DE 12 ATADOS MENSUALES QUE REPRESENTA UN TOTAL DE 36 ATADOS TRIMESTRALES</t>
  </si>
  <si>
    <t>*SE REALIZA LA ENTREGA DE 4 ATDOS POR SEMANA (DISTRIBUIDOS SEGÚN DETALLE PARA CADA INSTITUCION) LO QUE HACE UNA SUMA DE 16 ATADOS MENSUALES QUE REPRESENTA UN TOTAL DE 48 ATADOS TRIMESTRALES</t>
  </si>
  <si>
    <t>*SE REALIZA LA ENTREGA DE 6 ATADOS POR SEMANA (DISTRIBUIDOS SEGÚN DETALLE PARA CADA INSTITUCION) LO QUE HACE UNA SUMA DE 24 ATADOS MENSUALES QUE REPRESENTA UN TOTAL DE 72 ATADOS TRIMESTRALES</t>
  </si>
  <si>
    <t>*SE REALIZA LA ENTREGA DE 22 KG POR DIA EN EL HORARIO DE 07:30 HS A 10:00 HS (DISTRIBUIDOS SEGÚN DETALLE PARA CADA COMEDOR) RESULTANDO 154 KG POR SEMANA  LO QUE HACE UNA SUMA DE 616 KG MENSUALES  QUE REPRESENTA UN TOTAL DE 1.848 KG TRIMESTRALES</t>
  </si>
  <si>
    <t>*SE REALIZA LA ENTREGA DE 22 KG POR DIA EN EL HORARIO DE 07:30 HS A 10:00 HS ( DISTRIBUIDOS SEGÚN DETALLE PARA CADA COMEDOR) RESULTANDO 154 KG POR SEMANA  LO QUE HACE UNA SUMA DE 616 KG MENSUALES  QUE REPRESENTA UN TOTAL DE 1.848 KG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</si>
</sst>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 #,##0.00&quot; €&quot;_-;\-* #,##0.00&quot; €&quot;_-;_-* \-??&quot; €&quot;_-;_-@_-"/>
    <numFmt numFmtId="165" formatCode="[$$-2C0A]\ #,##0.00;[$$-2C0A]&quot; -&quot;#,##0.00"/>
    <numFmt numFmtId="166" formatCode="_-[$$-2C0A]\ * #,##0.00_-;\-[$$-2C0A]\ * #,##0.00_-;_-[$$-2C0A]\ * &quot;-&quot;??_-;_-@_-"/>
    <numFmt numFmtId="167" formatCode="[$$-2C0A]\ #,##0.00"/>
  </numFmts>
  <fonts count="19" x14ac:knownFonts="1">
    <font>
      <sz val="10"/>
      <name val="Arial"/>
      <charset val="1"/>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Arial"/>
      <family val="2"/>
    </font>
    <font>
      <b/>
      <sz val="10"/>
      <name val="Times New Roman"/>
      <family val="1"/>
    </font>
    <font>
      <sz val="10"/>
      <color theme="0"/>
      <name val="Times New Roman"/>
      <family val="1"/>
    </font>
    <font>
      <sz val="9"/>
      <color rgb="FFFF0000"/>
      <name val="Times New Roman"/>
      <family val="1"/>
    </font>
    <font>
      <sz val="8"/>
      <name val="Arial"/>
      <family val="2"/>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
      <patternFill patternType="solid">
        <fgColor rgb="FFFFFF00"/>
        <bgColor indexed="64"/>
      </patternFill>
    </fill>
  </fills>
  <borders count="45">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bottom style="medium">
        <color auto="1"/>
      </bottom>
      <diagonal/>
    </border>
  </borders>
  <cellStyleXfs count="5">
    <xf numFmtId="0" fontId="0" fillId="0" borderId="0"/>
    <xf numFmtId="164" fontId="4" fillId="0" borderId="0" applyBorder="0" applyProtection="0"/>
    <xf numFmtId="0" fontId="2" fillId="0" borderId="1" applyProtection="0"/>
    <xf numFmtId="0" fontId="3" fillId="2" borderId="0" applyBorder="0" applyProtection="0"/>
    <xf numFmtId="0" fontId="1" fillId="0" borderId="0"/>
  </cellStyleXfs>
  <cellXfs count="226">
    <xf numFmtId="0" fontId="0" fillId="0" borderId="0" xfId="0"/>
    <xf numFmtId="0" fontId="0" fillId="0" borderId="0" xfId="0" applyBorder="1"/>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7" xfId="0" applyFont="1" applyBorder="1" applyAlignment="1">
      <alignment horizontal="center" vertical="center"/>
    </xf>
    <xf numFmtId="0" fontId="12" fillId="0" borderId="9" xfId="0" applyFont="1" applyBorder="1"/>
    <xf numFmtId="0" fontId="5" fillId="0" borderId="10" xfId="0" applyFont="1" applyBorder="1"/>
    <xf numFmtId="0" fontId="5" fillId="0" borderId="11" xfId="0" applyFont="1" applyBorder="1"/>
    <xf numFmtId="0" fontId="5" fillId="0" borderId="12" xfId="0" applyFont="1" applyBorder="1"/>
    <xf numFmtId="0" fontId="5" fillId="0" borderId="0" xfId="0" applyFont="1" applyBorder="1"/>
    <xf numFmtId="0" fontId="5" fillId="0" borderId="13" xfId="0" applyFont="1" applyBorder="1"/>
    <xf numFmtId="0" fontId="12" fillId="0" borderId="12" xfId="0" applyFont="1" applyBorder="1" applyAlignment="1">
      <alignment horizontal="left" indent="3"/>
    </xf>
    <xf numFmtId="0" fontId="5" fillId="0" borderId="12" xfId="0" applyFont="1" applyBorder="1" applyAlignment="1">
      <alignment horizontal="left" indent="3"/>
    </xf>
    <xf numFmtId="0" fontId="5" fillId="0" borderId="0" xfId="0" applyFont="1" applyBorder="1" applyAlignment="1">
      <alignment horizontal="center" wrapText="1"/>
    </xf>
    <xf numFmtId="0" fontId="5" fillId="0" borderId="13" xfId="0" applyFont="1" applyBorder="1" applyAlignment="1">
      <alignment horizontal="center" wrapText="1"/>
    </xf>
    <xf numFmtId="0" fontId="5" fillId="0" borderId="14" xfId="0" applyFont="1" applyBorder="1" applyAlignment="1">
      <alignment horizontal="left" indent="3"/>
    </xf>
    <xf numFmtId="0" fontId="5" fillId="0" borderId="15" xfId="0" applyFont="1" applyBorder="1"/>
    <xf numFmtId="0" fontId="5" fillId="0" borderId="16" xfId="0" applyFont="1" applyBorder="1"/>
    <xf numFmtId="0" fontId="13" fillId="3" borderId="0" xfId="0" applyFont="1" applyFill="1" applyAlignment="1">
      <alignment horizontal="left" wrapText="1" indent="1"/>
    </xf>
    <xf numFmtId="0" fontId="9" fillId="0" borderId="0" xfId="0" applyFont="1" applyAlignment="1">
      <alignment horizontal="left" wrapText="1"/>
    </xf>
    <xf numFmtId="0" fontId="0" fillId="0" borderId="5" xfId="0" applyBorder="1"/>
    <xf numFmtId="0" fontId="9" fillId="0" borderId="9"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6" xfId="0" applyFont="1" applyBorder="1" applyAlignment="1">
      <alignment horizontal="center" vertical="center" wrapText="1"/>
    </xf>
    <xf numFmtId="0" fontId="0" fillId="0" borderId="8" xfId="0" applyBorder="1"/>
    <xf numFmtId="0" fontId="9" fillId="0" borderId="10" xfId="0" applyFont="1" applyBorder="1" applyAlignment="1">
      <alignment horizontal="center" vertical="center" wrapText="1"/>
    </xf>
    <xf numFmtId="0" fontId="0" fillId="0" borderId="3" xfId="0" applyBorder="1"/>
    <xf numFmtId="0" fontId="0" fillId="0" borderId="5" xfId="0" applyBorder="1" applyAlignment="1">
      <alignment horizontal="center"/>
    </xf>
    <xf numFmtId="41" fontId="0" fillId="0" borderId="5" xfId="0" applyNumberFormat="1" applyBorder="1" applyAlignment="1"/>
    <xf numFmtId="0" fontId="9" fillId="0" borderId="33" xfId="0" applyFont="1" applyBorder="1" applyAlignment="1">
      <alignment horizontal="center" vertical="center" wrapText="1"/>
    </xf>
    <xf numFmtId="0" fontId="10" fillId="0" borderId="34" xfId="0" applyFont="1" applyBorder="1" applyAlignment="1">
      <alignment horizontal="center" vertical="center"/>
    </xf>
    <xf numFmtId="0" fontId="0" fillId="0" borderId="35" xfId="0" applyBorder="1"/>
    <xf numFmtId="0" fontId="0" fillId="0" borderId="36" xfId="0" applyBorder="1"/>
    <xf numFmtId="0" fontId="11" fillId="0" borderId="36" xfId="0" applyFont="1" applyBorder="1" applyAlignment="1">
      <alignment horizontal="center" vertical="center" wrapText="1"/>
    </xf>
    <xf numFmtId="0" fontId="0" fillId="0" borderId="36" xfId="0" applyBorder="1" applyAlignment="1">
      <alignment horizontal="center"/>
    </xf>
    <xf numFmtId="0" fontId="0" fillId="0" borderId="36" xfId="0" applyBorder="1" applyAlignment="1">
      <alignment horizontal="right"/>
    </xf>
    <xf numFmtId="0" fontId="0" fillId="0" borderId="3" xfId="0" applyBorder="1" applyAlignment="1">
      <alignment horizontal="center"/>
    </xf>
    <xf numFmtId="41" fontId="0" fillId="0" borderId="3" xfId="0" applyNumberFormat="1" applyBorder="1" applyAlignment="1"/>
    <xf numFmtId="0" fontId="0" fillId="0" borderId="8" xfId="0" applyBorder="1" applyAlignment="1">
      <alignment horizontal="center"/>
    </xf>
    <xf numFmtId="41" fontId="0" fillId="0" borderId="8" xfId="0" applyNumberFormat="1" applyBorder="1" applyAlignment="1"/>
    <xf numFmtId="0" fontId="0" fillId="0" borderId="38" xfId="0" applyBorder="1"/>
    <xf numFmtId="0" fontId="0" fillId="0" borderId="39" xfId="0" applyBorder="1"/>
    <xf numFmtId="0" fontId="0" fillId="0" borderId="40" xfId="0" applyBorder="1"/>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7" xfId="0" applyFont="1" applyBorder="1" applyAlignment="1">
      <alignment horizontal="center" vertical="center" wrapText="1"/>
    </xf>
    <xf numFmtId="0" fontId="5" fillId="3" borderId="17" xfId="0" applyFont="1" applyFill="1" applyBorder="1" applyAlignment="1">
      <alignment horizontal="center"/>
    </xf>
    <xf numFmtId="0" fontId="9" fillId="0" borderId="0" xfId="0" applyFont="1" applyAlignment="1">
      <alignment horizontal="center" wrapText="1"/>
    </xf>
    <xf numFmtId="0" fontId="5" fillId="0" borderId="10" xfId="0" applyFont="1" applyBorder="1" applyAlignment="1">
      <alignment horizontal="center"/>
    </xf>
    <xf numFmtId="0" fontId="5" fillId="0" borderId="0" xfId="0" applyFont="1" applyBorder="1" applyAlignment="1">
      <alignment horizontal="center"/>
    </xf>
    <xf numFmtId="0" fontId="5" fillId="0" borderId="15" xfId="0" applyFont="1" applyBorder="1" applyAlignment="1">
      <alignment horizontal="center"/>
    </xf>
    <xf numFmtId="0" fontId="5" fillId="0" borderId="0" xfId="0" applyFont="1" applyAlignment="1">
      <alignment horizontal="center"/>
    </xf>
    <xf numFmtId="0" fontId="10" fillId="4" borderId="2" xfId="0" applyFont="1" applyFill="1" applyBorder="1" applyAlignment="1">
      <alignment horizontal="center" vertical="center"/>
    </xf>
    <xf numFmtId="0" fontId="0" fillId="4" borderId="3" xfId="0" applyFill="1" applyBorder="1"/>
    <xf numFmtId="0" fontId="11" fillId="4" borderId="23" xfId="0" applyFont="1" applyFill="1" applyBorder="1" applyAlignment="1">
      <alignment horizontal="center" vertical="center" wrapText="1"/>
    </xf>
    <xf numFmtId="0" fontId="0" fillId="4" borderId="3" xfId="0" applyFont="1" applyFill="1" applyBorder="1" applyAlignment="1">
      <alignment horizontal="center"/>
    </xf>
    <xf numFmtId="3" fontId="14" fillId="4" borderId="3" xfId="0" applyNumberFormat="1" applyFont="1" applyFill="1" applyBorder="1" applyAlignment="1">
      <alignment horizontal="right" vertical="center"/>
    </xf>
    <xf numFmtId="165" fontId="10" fillId="5" borderId="27" xfId="1" applyNumberFormat="1" applyFont="1" applyFill="1" applyBorder="1" applyAlignment="1" applyProtection="1">
      <alignment horizontal="right" vertical="center" wrapText="1"/>
    </xf>
    <xf numFmtId="165" fontId="10" fillId="5" borderId="28" xfId="1" applyNumberFormat="1" applyFont="1" applyFill="1" applyBorder="1" applyAlignment="1" applyProtection="1">
      <alignment horizontal="right" vertical="center" wrapText="1"/>
    </xf>
    <xf numFmtId="0" fontId="10" fillId="4" borderId="31" xfId="0" applyFont="1" applyFill="1" applyBorder="1" applyAlignment="1">
      <alignment horizontal="center" vertical="center"/>
    </xf>
    <xf numFmtId="0" fontId="0" fillId="4" borderId="5" xfId="0" applyFill="1" applyBorder="1"/>
    <xf numFmtId="0" fontId="11" fillId="4" borderId="5" xfId="0" applyFont="1" applyFill="1" applyBorder="1" applyAlignment="1">
      <alignment horizontal="center" vertical="center" wrapText="1"/>
    </xf>
    <xf numFmtId="0" fontId="0" fillId="4" borderId="5" xfId="0" applyFont="1" applyFill="1" applyBorder="1" applyAlignment="1">
      <alignment horizontal="center"/>
    </xf>
    <xf numFmtId="3" fontId="14" fillId="4" borderId="5" xfId="0" applyNumberFormat="1" applyFont="1" applyFill="1" applyBorder="1" applyAlignment="1">
      <alignment horizontal="right" vertical="center"/>
    </xf>
    <xf numFmtId="165" fontId="10" fillId="5" borderId="5" xfId="1" applyNumberFormat="1" applyFont="1" applyFill="1" applyBorder="1" applyAlignment="1" applyProtection="1">
      <alignment horizontal="right" vertical="center" wrapText="1"/>
    </xf>
    <xf numFmtId="165" fontId="10" fillId="5" borderId="6" xfId="1" applyNumberFormat="1" applyFont="1" applyFill="1" applyBorder="1" applyAlignment="1" applyProtection="1">
      <alignment horizontal="right" vertical="center" wrapText="1"/>
    </xf>
    <xf numFmtId="0" fontId="4" fillId="4" borderId="5" xfId="0" applyFont="1" applyFill="1" applyBorder="1"/>
    <xf numFmtId="0" fontId="10" fillId="4" borderId="20" xfId="0" applyFont="1" applyFill="1" applyBorder="1" applyAlignment="1">
      <alignment horizontal="center" vertical="center" wrapText="1"/>
    </xf>
    <xf numFmtId="0" fontId="4" fillId="4" borderId="5" xfId="0" applyFont="1" applyFill="1" applyBorder="1" applyAlignment="1">
      <alignment horizontal="center"/>
    </xf>
    <xf numFmtId="0" fontId="10" fillId="4" borderId="5" xfId="0" applyFont="1" applyFill="1" applyBorder="1" applyAlignment="1">
      <alignment horizontal="center" vertical="center" wrapText="1"/>
    </xf>
    <xf numFmtId="0" fontId="0" fillId="4" borderId="20" xfId="0" applyFont="1" applyFill="1" applyBorder="1" applyAlignment="1">
      <alignment horizontal="center"/>
    </xf>
    <xf numFmtId="3" fontId="14" fillId="4" borderId="20" xfId="0" applyNumberFormat="1" applyFont="1" applyFill="1" applyBorder="1" applyAlignment="1">
      <alignment horizontal="right" vertical="center"/>
    </xf>
    <xf numFmtId="0" fontId="0" fillId="4" borderId="0" xfId="0" applyFill="1" applyBorder="1"/>
    <xf numFmtId="3" fontId="14" fillId="4" borderId="22" xfId="0" applyNumberFormat="1" applyFont="1" applyFill="1" applyBorder="1" applyAlignment="1">
      <alignment horizontal="right" vertical="center"/>
    </xf>
    <xf numFmtId="165" fontId="10" fillId="5" borderId="21" xfId="1" applyNumberFormat="1" applyFont="1" applyFill="1" applyBorder="1" applyAlignment="1" applyProtection="1">
      <alignment horizontal="right" vertical="center" wrapText="1"/>
    </xf>
    <xf numFmtId="165" fontId="10" fillId="5" borderId="32" xfId="1" applyNumberFormat="1" applyFont="1" applyFill="1" applyBorder="1" applyAlignment="1" applyProtection="1">
      <alignment horizontal="right" vertical="center" wrapText="1"/>
    </xf>
    <xf numFmtId="0" fontId="4" fillId="4" borderId="20" xfId="0" applyFont="1" applyFill="1" applyBorder="1" applyAlignment="1">
      <alignment horizontal="center"/>
    </xf>
    <xf numFmtId="3" fontId="14" fillId="4" borderId="5" xfId="0" applyNumberFormat="1" applyFont="1" applyFill="1" applyBorder="1" applyAlignment="1">
      <alignment horizontal="right"/>
    </xf>
    <xf numFmtId="0" fontId="10" fillId="4" borderId="41" xfId="0" applyFont="1" applyFill="1" applyBorder="1" applyAlignment="1">
      <alignment horizontal="center" vertical="center"/>
    </xf>
    <xf numFmtId="0" fontId="0" fillId="4" borderId="8" xfId="0" applyFill="1" applyBorder="1"/>
    <xf numFmtId="0" fontId="11" fillId="4" borderId="8" xfId="0" applyFont="1" applyFill="1" applyBorder="1" applyAlignment="1">
      <alignment horizontal="center" vertical="center" wrapText="1"/>
    </xf>
    <xf numFmtId="0" fontId="4" fillId="4" borderId="8" xfId="0" applyFont="1" applyFill="1" applyBorder="1" applyAlignment="1">
      <alignment horizontal="center"/>
    </xf>
    <xf numFmtId="3" fontId="14" fillId="4" borderId="8" xfId="0" applyNumberFormat="1" applyFont="1" applyFill="1" applyBorder="1" applyAlignment="1">
      <alignment horizontal="right"/>
    </xf>
    <xf numFmtId="165" fontId="10" fillId="5" borderId="29" xfId="1" applyNumberFormat="1" applyFont="1" applyFill="1" applyBorder="1" applyAlignment="1" applyProtection="1">
      <alignment horizontal="right" vertical="center" wrapText="1"/>
    </xf>
    <xf numFmtId="165" fontId="10" fillId="5" borderId="30" xfId="1" applyNumberFormat="1" applyFont="1" applyFill="1" applyBorder="1" applyAlignment="1" applyProtection="1">
      <alignment horizontal="right" vertical="center" wrapText="1"/>
    </xf>
    <xf numFmtId="0" fontId="5" fillId="5" borderId="0" xfId="0" applyFont="1" applyFill="1" applyBorder="1" applyAlignment="1">
      <alignment horizontal="center"/>
    </xf>
    <xf numFmtId="0" fontId="5" fillId="5" borderId="13" xfId="0" applyFont="1" applyFill="1" applyBorder="1" applyAlignment="1"/>
    <xf numFmtId="165" fontId="10" fillId="5" borderId="36" xfId="1" applyNumberFormat="1" applyFont="1" applyFill="1" applyBorder="1" applyAlignment="1" applyProtection="1">
      <alignment horizontal="right" vertical="center" wrapText="1"/>
    </xf>
    <xf numFmtId="165" fontId="10" fillId="5" borderId="37" xfId="1" applyNumberFormat="1" applyFont="1" applyFill="1" applyBorder="1" applyAlignment="1" applyProtection="1">
      <alignment horizontal="right" vertical="center" wrapText="1"/>
    </xf>
    <xf numFmtId="165" fontId="10" fillId="5" borderId="3" xfId="1" applyNumberFormat="1" applyFont="1" applyFill="1" applyBorder="1" applyAlignment="1" applyProtection="1">
      <alignment horizontal="right" vertical="center" wrapText="1"/>
    </xf>
    <xf numFmtId="0" fontId="5" fillId="5" borderId="10" xfId="0" applyFont="1" applyFill="1" applyBorder="1" applyAlignment="1">
      <alignment horizontal="center"/>
    </xf>
    <xf numFmtId="0" fontId="5" fillId="5" borderId="11" xfId="0" applyFont="1" applyFill="1" applyBorder="1" applyAlignment="1"/>
    <xf numFmtId="0" fontId="5" fillId="5" borderId="15" xfId="0" applyFont="1" applyFill="1" applyBorder="1" applyAlignment="1">
      <alignment horizontal="center"/>
    </xf>
    <xf numFmtId="0" fontId="5" fillId="5" borderId="16" xfId="0" applyFont="1" applyFill="1" applyBorder="1" applyAlignment="1"/>
    <xf numFmtId="0" fontId="5" fillId="5" borderId="5" xfId="0" applyFont="1" applyFill="1" applyBorder="1" applyAlignment="1">
      <alignment horizontal="center"/>
    </xf>
    <xf numFmtId="0" fontId="5" fillId="5" borderId="5" xfId="0" applyFont="1" applyFill="1" applyBorder="1" applyAlignment="1"/>
    <xf numFmtId="0" fontId="5" fillId="5" borderId="20" xfId="0" applyFont="1" applyFill="1" applyBorder="1" applyAlignment="1">
      <alignment horizontal="center"/>
    </xf>
    <xf numFmtId="0" fontId="5" fillId="5" borderId="20" xfId="0" applyFont="1" applyFill="1" applyBorder="1" applyAlignment="1"/>
    <xf numFmtId="0" fontId="5" fillId="5" borderId="21" xfId="0" applyFont="1" applyFill="1" applyBorder="1" applyAlignment="1">
      <alignment horizontal="center"/>
    </xf>
    <xf numFmtId="0" fontId="5" fillId="5" borderId="21" xfId="0" applyFont="1" applyFill="1" applyBorder="1" applyAlignment="1"/>
    <xf numFmtId="0" fontId="16" fillId="0" borderId="0" xfId="0" applyFont="1"/>
    <xf numFmtId="0" fontId="5" fillId="0" borderId="0" xfId="0" applyFont="1" applyFill="1"/>
    <xf numFmtId="165" fontId="17" fillId="3" borderId="3" xfId="1" applyNumberFormat="1" applyFont="1" applyFill="1" applyBorder="1" applyAlignment="1" applyProtection="1">
      <alignment horizontal="right" vertical="center" wrapText="1"/>
    </xf>
    <xf numFmtId="165" fontId="17" fillId="3" borderId="5" xfId="1" applyNumberFormat="1" applyFont="1" applyFill="1" applyBorder="1" applyAlignment="1" applyProtection="1">
      <alignment horizontal="right" vertical="center" wrapText="1"/>
    </xf>
    <xf numFmtId="165" fontId="17" fillId="3" borderId="29" xfId="1" applyNumberFormat="1" applyFont="1" applyFill="1" applyBorder="1" applyAlignment="1" applyProtection="1">
      <alignment horizontal="right" vertical="center" wrapText="1"/>
    </xf>
    <xf numFmtId="165" fontId="10" fillId="3" borderId="28" xfId="1" applyNumberFormat="1" applyFont="1" applyFill="1" applyBorder="1" applyAlignment="1" applyProtection="1">
      <alignment horizontal="right" vertical="center" wrapText="1"/>
    </xf>
    <xf numFmtId="165" fontId="10" fillId="3" borderId="6" xfId="1" applyNumberFormat="1" applyFont="1" applyFill="1" applyBorder="1" applyAlignment="1" applyProtection="1">
      <alignment horizontal="right" vertical="center" wrapText="1"/>
    </xf>
    <xf numFmtId="165" fontId="10" fillId="3" borderId="30" xfId="1" applyNumberFormat="1" applyFont="1" applyFill="1" applyBorder="1" applyAlignment="1" applyProtection="1">
      <alignment horizontal="right" vertical="center" wrapText="1"/>
    </xf>
    <xf numFmtId="0" fontId="16" fillId="0" borderId="0" xfId="0" applyFont="1" applyFill="1"/>
    <xf numFmtId="0" fontId="4" fillId="0" borderId="0" xfId="0" applyFont="1" applyFill="1" applyBorder="1" applyAlignment="1">
      <alignment horizontal="center"/>
    </xf>
    <xf numFmtId="0" fontId="9" fillId="0" borderId="17" xfId="0" applyFont="1" applyBorder="1" applyAlignment="1">
      <alignment horizontal="center" vertical="center" wrapText="1"/>
    </xf>
    <xf numFmtId="0" fontId="5" fillId="0" borderId="0" xfId="0" applyFont="1" applyFill="1" applyBorder="1" applyAlignment="1"/>
    <xf numFmtId="0" fontId="4" fillId="0" borderId="5" xfId="0" applyFont="1" applyBorder="1"/>
    <xf numFmtId="0" fontId="11" fillId="0" borderId="5" xfId="0" applyFont="1" applyBorder="1" applyAlignment="1">
      <alignment horizontal="center" vertical="center" wrapText="1"/>
    </xf>
    <xf numFmtId="0" fontId="4" fillId="0" borderId="5" xfId="0" applyFont="1" applyBorder="1" applyAlignment="1">
      <alignment horizontal="center"/>
    </xf>
    <xf numFmtId="0" fontId="5" fillId="0" borderId="0" xfId="0" applyFont="1" applyAlignment="1">
      <alignment horizontal="left" wrapText="1"/>
    </xf>
    <xf numFmtId="0" fontId="10" fillId="0" borderId="0" xfId="0" applyFont="1" applyFill="1" applyBorder="1" applyAlignment="1">
      <alignment horizontal="center" vertical="center"/>
    </xf>
    <xf numFmtId="0" fontId="11" fillId="0" borderId="0" xfId="0" applyFont="1" applyBorder="1" applyAlignment="1">
      <alignment horizontal="center" vertical="center" wrapText="1"/>
    </xf>
    <xf numFmtId="0" fontId="15" fillId="0" borderId="17" xfId="0" applyFont="1" applyBorder="1" applyAlignment="1">
      <alignment horizontal="center" vertical="center" wrapText="1"/>
    </xf>
    <xf numFmtId="0" fontId="4" fillId="0" borderId="5" xfId="0" applyFont="1" applyBorder="1" applyAlignment="1">
      <alignment horizontal="center" wrapText="1"/>
    </xf>
    <xf numFmtId="0" fontId="13" fillId="0" borderId="0" xfId="0" applyFont="1" applyFill="1" applyAlignment="1">
      <alignment horizontal="left" wrapText="1" indent="1"/>
    </xf>
    <xf numFmtId="0" fontId="9" fillId="0" borderId="0" xfId="0" applyFont="1" applyFill="1" applyAlignment="1">
      <alignment horizontal="center" wrapText="1"/>
    </xf>
    <xf numFmtId="0" fontId="9" fillId="0" borderId="0" xfId="0" applyFont="1" applyFill="1" applyAlignment="1">
      <alignment horizontal="left" wrapText="1"/>
    </xf>
    <xf numFmtId="165" fontId="10" fillId="0" borderId="5" xfId="1" applyNumberFormat="1" applyFont="1" applyBorder="1" applyAlignment="1" applyProtection="1">
      <alignment horizontal="right" vertical="center" wrapText="1"/>
    </xf>
    <xf numFmtId="165" fontId="10" fillId="4" borderId="5" xfId="1" applyNumberFormat="1" applyFont="1" applyFill="1" applyBorder="1" applyAlignment="1" applyProtection="1">
      <alignment horizontal="right" vertical="center" wrapText="1"/>
    </xf>
    <xf numFmtId="165" fontId="15" fillId="0" borderId="44" xfId="0" applyNumberFormat="1" applyFont="1" applyBorder="1"/>
    <xf numFmtId="0" fontId="12" fillId="0" borderId="9" xfId="0" applyFont="1" applyFill="1" applyBorder="1"/>
    <xf numFmtId="0" fontId="5" fillId="0" borderId="10" xfId="0" applyFont="1" applyFill="1" applyBorder="1"/>
    <xf numFmtId="0" fontId="5" fillId="0" borderId="10" xfId="0" applyFont="1" applyFill="1" applyBorder="1" applyAlignment="1">
      <alignment horizontal="center"/>
    </xf>
    <xf numFmtId="0" fontId="5" fillId="0" borderId="11" xfId="0" applyFont="1" applyFill="1" applyBorder="1"/>
    <xf numFmtId="0" fontId="5" fillId="0" borderId="13" xfId="0" applyFont="1" applyFill="1" applyBorder="1"/>
    <xf numFmtId="0" fontId="12" fillId="0" borderId="12" xfId="0" applyFont="1" applyFill="1" applyBorder="1" applyAlignment="1">
      <alignment horizontal="left" indent="3"/>
    </xf>
    <xf numFmtId="0" fontId="5" fillId="0" borderId="14" xfId="0" applyFont="1" applyFill="1" applyBorder="1" applyAlignment="1">
      <alignment horizontal="left" indent="3"/>
    </xf>
    <xf numFmtId="0" fontId="5" fillId="0" borderId="15" xfId="0" applyFont="1" applyFill="1" applyBorder="1"/>
    <xf numFmtId="0" fontId="5" fillId="0" borderId="15" xfId="0" applyFont="1" applyFill="1" applyBorder="1" applyAlignment="1">
      <alignment horizontal="center"/>
    </xf>
    <xf numFmtId="0" fontId="5" fillId="0" borderId="16" xfId="0" applyFont="1" applyFill="1" applyBorder="1"/>
    <xf numFmtId="0" fontId="5" fillId="0" borderId="0" xfId="0" applyFont="1" applyFill="1" applyAlignment="1">
      <alignment horizontal="center"/>
    </xf>
    <xf numFmtId="0" fontId="5" fillId="0" borderId="12" xfId="0" applyFont="1" applyFill="1" applyBorder="1"/>
    <xf numFmtId="0" fontId="5" fillId="0" borderId="17" xfId="0" applyFont="1" applyFill="1" applyBorder="1" applyAlignment="1">
      <alignment horizontal="center"/>
    </xf>
    <xf numFmtId="0" fontId="5" fillId="0" borderId="21" xfId="0" applyFont="1" applyFill="1" applyBorder="1" applyAlignment="1">
      <alignment horizontal="center"/>
    </xf>
    <xf numFmtId="0" fontId="5" fillId="0" borderId="5" xfId="0" applyFont="1" applyFill="1" applyBorder="1" applyAlignment="1">
      <alignment horizontal="center"/>
    </xf>
    <xf numFmtId="0" fontId="5" fillId="0" borderId="5" xfId="0" applyFont="1" applyFill="1" applyBorder="1" applyAlignment="1"/>
    <xf numFmtId="0" fontId="5" fillId="0" borderId="12" xfId="0" applyFont="1" applyFill="1" applyBorder="1" applyAlignment="1">
      <alignment horizontal="left" indent="3"/>
    </xf>
    <xf numFmtId="0" fontId="5" fillId="0" borderId="13" xfId="0" applyFont="1" applyFill="1" applyBorder="1" applyAlignment="1">
      <alignment horizontal="center" wrapText="1"/>
    </xf>
    <xf numFmtId="0" fontId="5" fillId="0" borderId="21" xfId="0" applyFont="1" applyFill="1" applyBorder="1"/>
    <xf numFmtId="0" fontId="5" fillId="0" borderId="5" xfId="0" applyFont="1" applyFill="1" applyBorder="1"/>
    <xf numFmtId="0" fontId="5" fillId="0" borderId="0" xfId="0" applyFont="1" applyFill="1" applyAlignment="1">
      <alignment horizontal="center" wrapText="1"/>
    </xf>
    <xf numFmtId="0" fontId="0" fillId="0" borderId="5" xfId="0" applyBorder="1" applyAlignment="1">
      <alignment vertical="top" wrapText="1"/>
    </xf>
    <xf numFmtId="0" fontId="0" fillId="0" borderId="5" xfId="0" applyFill="1" applyBorder="1" applyAlignment="1">
      <alignment horizontal="left" vertical="top" wrapText="1"/>
    </xf>
    <xf numFmtId="0" fontId="0" fillId="0" borderId="5" xfId="0" applyFill="1" applyBorder="1" applyAlignment="1">
      <alignment vertical="top" wrapText="1"/>
    </xf>
    <xf numFmtId="0" fontId="0" fillId="0" borderId="5" xfId="0" applyFill="1" applyBorder="1" applyAlignment="1">
      <alignment vertical="top"/>
    </xf>
    <xf numFmtId="166" fontId="5" fillId="0" borderId="0" xfId="0" applyNumberFormat="1" applyFont="1"/>
    <xf numFmtId="167" fontId="5" fillId="0" borderId="0" xfId="0" applyNumberFormat="1" applyFont="1"/>
    <xf numFmtId="0" fontId="10" fillId="0" borderId="5" xfId="0" applyFont="1" applyFill="1" applyBorder="1" applyAlignment="1">
      <alignment horizontal="center" vertical="center"/>
    </xf>
    <xf numFmtId="0" fontId="5" fillId="0" borderId="13" xfId="0" applyFont="1" applyFill="1" applyBorder="1" applyAlignment="1">
      <alignment horizontal="center" wrapText="1"/>
    </xf>
    <xf numFmtId="0" fontId="5" fillId="0" borderId="21" xfId="0" applyFont="1" applyFill="1" applyBorder="1" applyAlignment="1">
      <alignment horizontal="center"/>
    </xf>
    <xf numFmtId="0" fontId="5" fillId="0" borderId="5" xfId="0" applyFont="1" applyFill="1" applyBorder="1" applyAlignment="1">
      <alignment horizontal="center"/>
    </xf>
    <xf numFmtId="0" fontId="5" fillId="0" borderId="10" xfId="0" applyFont="1" applyFill="1" applyBorder="1" applyAlignment="1">
      <alignment horizontal="center"/>
    </xf>
    <xf numFmtId="0" fontId="5" fillId="0" borderId="0" xfId="0" applyFont="1" applyFill="1" applyAlignment="1">
      <alignment horizontal="center"/>
    </xf>
    <xf numFmtId="0" fontId="5" fillId="0" borderId="0" xfId="0" applyFont="1" applyFill="1" applyAlignment="1">
      <alignment horizontal="center" wrapText="1"/>
    </xf>
    <xf numFmtId="0" fontId="5" fillId="0" borderId="0" xfId="0" applyNumberFormat="1" applyFont="1" applyAlignment="1">
      <alignment horizontal="center" wrapText="1"/>
    </xf>
    <xf numFmtId="0" fontId="15" fillId="0" borderId="17" xfId="0" applyNumberFormat="1" applyFont="1" applyBorder="1" applyAlignment="1">
      <alignment horizontal="center" vertical="center" wrapText="1"/>
    </xf>
    <xf numFmtId="0" fontId="4" fillId="0" borderId="5" xfId="0" applyNumberFormat="1" applyFont="1" applyBorder="1" applyAlignment="1">
      <alignment horizontal="right" vertical="center"/>
    </xf>
    <xf numFmtId="0" fontId="4" fillId="4" borderId="5" xfId="0" applyNumberFormat="1" applyFont="1" applyFill="1" applyBorder="1" applyAlignment="1">
      <alignment horizontal="right" vertical="center"/>
    </xf>
    <xf numFmtId="0" fontId="4" fillId="0" borderId="5" xfId="0" applyNumberFormat="1" applyFont="1" applyBorder="1" applyAlignment="1">
      <alignment horizontal="right"/>
    </xf>
    <xf numFmtId="0" fontId="14" fillId="0" borderId="0" xfId="0" applyNumberFormat="1" applyFont="1" applyFill="1" applyBorder="1" applyAlignment="1">
      <alignment horizontal="right"/>
    </xf>
    <xf numFmtId="0" fontId="5" fillId="0" borderId="0" xfId="0" applyNumberFormat="1" applyFont="1"/>
    <xf numFmtId="0" fontId="15" fillId="0" borderId="0" xfId="0" applyNumberFormat="1" applyFont="1" applyAlignment="1">
      <alignment horizontal="left" wrapText="1"/>
    </xf>
    <xf numFmtId="0" fontId="4" fillId="0" borderId="5" xfId="1" applyNumberFormat="1" applyFont="1" applyBorder="1" applyAlignment="1" applyProtection="1">
      <alignment vertical="center"/>
    </xf>
    <xf numFmtId="0" fontId="15" fillId="0" borderId="0" xfId="0" applyNumberFormat="1" applyFont="1"/>
    <xf numFmtId="0" fontId="5" fillId="5" borderId="12" xfId="0" applyFont="1" applyFill="1" applyBorder="1" applyAlignment="1">
      <alignment horizontal="center"/>
    </xf>
    <xf numFmtId="0" fontId="5" fillId="5" borderId="0" xfId="0" applyFont="1" applyFill="1" applyBorder="1" applyAlignment="1">
      <alignment horizontal="center"/>
    </xf>
    <xf numFmtId="0" fontId="5" fillId="3" borderId="18" xfId="0" applyFont="1" applyFill="1" applyBorder="1" applyAlignment="1">
      <alignment horizontal="center"/>
    </xf>
    <xf numFmtId="0" fontId="5" fillId="3" borderId="35" xfId="0" applyFont="1" applyFill="1" applyBorder="1" applyAlignment="1">
      <alignment horizontal="center"/>
    </xf>
    <xf numFmtId="0" fontId="5" fillId="3" borderId="19" xfId="0" applyFont="1" applyFill="1" applyBorder="1" applyAlignment="1">
      <alignment horizontal="center"/>
    </xf>
    <xf numFmtId="0" fontId="5" fillId="3" borderId="12"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7" fillId="0" borderId="0" xfId="0" applyFont="1" applyBorder="1" applyAlignment="1">
      <alignment horizontal="left" vertical="center" wrapText="1"/>
    </xf>
    <xf numFmtId="0" fontId="5" fillId="5" borderId="9" xfId="0" applyFont="1" applyFill="1" applyBorder="1" applyAlignment="1">
      <alignment horizontal="center"/>
    </xf>
    <xf numFmtId="0" fontId="5" fillId="5" borderId="10" xfId="0" applyFont="1" applyFill="1" applyBorder="1" applyAlignment="1">
      <alignment horizontal="center"/>
    </xf>
    <xf numFmtId="0" fontId="6" fillId="0" borderId="0" xfId="0" applyFont="1" applyBorder="1" applyAlignment="1">
      <alignment horizontal="center"/>
    </xf>
    <xf numFmtId="0" fontId="13" fillId="3" borderId="0" xfId="0" applyFont="1" applyFill="1" applyBorder="1" applyAlignment="1">
      <alignment horizontal="left" wrapText="1" indent="1"/>
    </xf>
    <xf numFmtId="0" fontId="5" fillId="3" borderId="12" xfId="0" applyFont="1" applyFill="1" applyBorder="1" applyAlignment="1">
      <alignment horizontal="center"/>
    </xf>
    <xf numFmtId="0" fontId="5" fillId="3" borderId="0" xfId="0" applyFont="1" applyFill="1" applyBorder="1" applyAlignment="1">
      <alignment horizontal="center"/>
    </xf>
    <xf numFmtId="0" fontId="5" fillId="3" borderId="13" xfId="0" applyFont="1" applyFill="1" applyBorder="1" applyAlignment="1">
      <alignment horizontal="center"/>
    </xf>
    <xf numFmtId="0" fontId="5" fillId="3" borderId="13" xfId="0" applyFont="1" applyFill="1" applyBorder="1" applyAlignment="1">
      <alignment horizontal="center" wrapText="1"/>
    </xf>
    <xf numFmtId="0" fontId="5" fillId="5" borderId="14" xfId="0" applyFont="1" applyFill="1" applyBorder="1" applyAlignment="1">
      <alignment horizontal="center"/>
    </xf>
    <xf numFmtId="0" fontId="5" fillId="5" borderId="15" xfId="0" applyFont="1" applyFill="1" applyBorder="1" applyAlignment="1">
      <alignment horizontal="center"/>
    </xf>
    <xf numFmtId="0" fontId="5" fillId="0" borderId="13" xfId="0" applyFont="1" applyFill="1" applyBorder="1" applyAlignment="1">
      <alignment horizontal="center" wrapText="1"/>
    </xf>
    <xf numFmtId="0" fontId="5" fillId="0" borderId="13" xfId="0" applyFont="1" applyFill="1" applyBorder="1" applyAlignment="1">
      <alignment horizontal="center"/>
    </xf>
    <xf numFmtId="0" fontId="5" fillId="0" borderId="39" xfId="0" applyFont="1" applyFill="1" applyBorder="1" applyAlignment="1">
      <alignment horizontal="center"/>
    </xf>
    <xf numFmtId="0" fontId="5" fillId="0" borderId="22" xfId="0" applyFont="1" applyFill="1" applyBorder="1" applyAlignment="1">
      <alignment horizontal="center"/>
    </xf>
    <xf numFmtId="0" fontId="5" fillId="0" borderId="42" xfId="0" applyFont="1" applyFill="1" applyBorder="1" applyAlignment="1">
      <alignment horizontal="center"/>
    </xf>
    <xf numFmtId="0" fontId="5" fillId="0" borderId="43" xfId="0" applyFont="1" applyFill="1" applyBorder="1" applyAlignment="1">
      <alignment horizontal="center"/>
    </xf>
    <xf numFmtId="0" fontId="15" fillId="0" borderId="18" xfId="0" applyFont="1" applyFill="1" applyBorder="1" applyAlignment="1">
      <alignment horizontal="left" vertical="center" wrapText="1"/>
    </xf>
    <xf numFmtId="0" fontId="15" fillId="0" borderId="35" xfId="0" applyFont="1" applyFill="1" applyBorder="1" applyAlignment="1">
      <alignment horizontal="left" vertical="center" wrapText="1"/>
    </xf>
    <xf numFmtId="0" fontId="15" fillId="0" borderId="19" xfId="0" applyFont="1" applyFill="1" applyBorder="1" applyAlignment="1">
      <alignment horizontal="left" vertical="center" wrapText="1"/>
    </xf>
    <xf numFmtId="0" fontId="5" fillId="0" borderId="18" xfId="0" applyFont="1" applyFill="1" applyBorder="1" applyAlignment="1">
      <alignment horizontal="center"/>
    </xf>
    <xf numFmtId="0" fontId="5" fillId="0" borderId="35" xfId="0" applyFont="1" applyFill="1" applyBorder="1" applyAlignment="1">
      <alignment horizontal="center"/>
    </xf>
    <xf numFmtId="0" fontId="5" fillId="0" borderId="19" xfId="0" applyFont="1" applyFill="1" applyBorder="1" applyAlignment="1">
      <alignment horizontal="center"/>
    </xf>
    <xf numFmtId="0" fontId="5" fillId="0" borderId="21" xfId="0" applyFont="1" applyFill="1" applyBorder="1" applyAlignment="1">
      <alignment horizontal="center"/>
    </xf>
    <xf numFmtId="0" fontId="5" fillId="0" borderId="5" xfId="0" applyFont="1" applyFill="1" applyBorder="1" applyAlignment="1">
      <alignment horizontal="center"/>
    </xf>
    <xf numFmtId="0" fontId="5" fillId="6" borderId="13" xfId="0" applyFont="1" applyFill="1" applyBorder="1" applyAlignment="1">
      <alignment horizontal="center" wrapText="1"/>
    </xf>
    <xf numFmtId="0" fontId="5" fillId="0" borderId="0" xfId="0" applyFont="1" applyFill="1" applyAlignment="1">
      <alignment horizontal="center"/>
    </xf>
    <xf numFmtId="0" fontId="5" fillId="0" borderId="0" xfId="0" applyFont="1" applyFill="1" applyAlignment="1">
      <alignment horizontal="center" wrapText="1"/>
    </xf>
    <xf numFmtId="0" fontId="5" fillId="6" borderId="0" xfId="0" applyFont="1" applyFill="1" applyAlignment="1">
      <alignment horizontal="center" vertical="center" wrapText="1"/>
    </xf>
    <xf numFmtId="0" fontId="5" fillId="6" borderId="13" xfId="0" applyFont="1" applyFill="1" applyBorder="1" applyAlignment="1">
      <alignment horizontal="center" vertical="center" wrapText="1"/>
    </xf>
    <xf numFmtId="0" fontId="5" fillId="6" borderId="0" xfId="0" applyFont="1" applyFill="1" applyAlignment="1">
      <alignment horizontal="center"/>
    </xf>
    <xf numFmtId="0" fontId="5" fillId="6" borderId="13" xfId="0" applyFont="1" applyFill="1" applyBorder="1" applyAlignment="1">
      <alignment horizontal="center"/>
    </xf>
    <xf numFmtId="0" fontId="5" fillId="0" borderId="0" xfId="0" applyFont="1" applyFill="1" applyAlignment="1">
      <alignment horizontal="center" vertical="center" wrapText="1"/>
    </xf>
    <xf numFmtId="0" fontId="5" fillId="0" borderId="13" xfId="0" applyFont="1" applyFill="1" applyBorder="1" applyAlignment="1">
      <alignment horizontal="center" vertical="center" wrapText="1"/>
    </xf>
    <xf numFmtId="0" fontId="5" fillId="0" borderId="9" xfId="0" applyFont="1" applyFill="1" applyBorder="1" applyAlignment="1">
      <alignment horizontal="center"/>
    </xf>
    <xf numFmtId="0" fontId="5" fillId="0" borderId="10" xfId="0" applyFont="1" applyFill="1" applyBorder="1" applyAlignment="1">
      <alignment horizontal="center"/>
    </xf>
    <xf numFmtId="0" fontId="5" fillId="0" borderId="11" xfId="0" applyFont="1" applyFill="1" applyBorder="1" applyAlignment="1">
      <alignment horizontal="center"/>
    </xf>
    <xf numFmtId="0" fontId="13" fillId="0" borderId="0" xfId="0" applyFont="1" applyFill="1" applyBorder="1" applyAlignment="1">
      <alignment horizontal="left" wrapText="1" indent="1"/>
    </xf>
    <xf numFmtId="0" fontId="5" fillId="5" borderId="5" xfId="0" applyFont="1" applyFill="1" applyBorder="1" applyAlignment="1">
      <alignment horizontal="center"/>
    </xf>
    <xf numFmtId="0" fontId="5" fillId="5" borderId="20" xfId="0" applyFont="1" applyFill="1" applyBorder="1" applyAlignment="1">
      <alignment horizontal="center"/>
    </xf>
    <xf numFmtId="0" fontId="15" fillId="5" borderId="18" xfId="0" applyFont="1" applyFill="1" applyBorder="1" applyAlignment="1">
      <alignment horizontal="left" wrapText="1"/>
    </xf>
    <xf numFmtId="0" fontId="15" fillId="5" borderId="35" xfId="0" applyFont="1" applyFill="1" applyBorder="1" applyAlignment="1">
      <alignment horizontal="left" wrapText="1"/>
    </xf>
    <xf numFmtId="0" fontId="15" fillId="5" borderId="19" xfId="0" applyFont="1" applyFill="1" applyBorder="1" applyAlignment="1">
      <alignment horizontal="left" wrapText="1"/>
    </xf>
    <xf numFmtId="0" fontId="5" fillId="5" borderId="21" xfId="0" applyFont="1" applyFill="1" applyBorder="1" applyAlignment="1">
      <alignment horizontal="center"/>
    </xf>
  </cellXfs>
  <cellStyles count="5">
    <cellStyle name="Encabezado 1" xfId="2" xr:uid="{00000000-0005-0000-0000-000000000000}"/>
    <cellStyle name="Moneda" xfId="1" builtinId="4"/>
    <cellStyle name="Neutral 1" xfId="3" xr:uid="{00000000-0005-0000-0000-000002000000}"/>
    <cellStyle name="Normal" xfId="0" builtinId="0"/>
    <cellStyle name="Normal 2"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workbookViewId="0">
      <selection sqref="A1:XFD1048576"/>
    </sheetView>
  </sheetViews>
  <sheetFormatPr baseColWidth="10" defaultColWidth="11" defaultRowHeight="12.75" x14ac:dyDescent="0.2"/>
  <cols>
    <col min="1" max="1" width="4.5703125" style="2" customWidth="1"/>
    <col min="2" max="2" width="19.85546875" style="2" customWidth="1"/>
    <col min="3" max="3" width="32.42578125" style="2" customWidth="1"/>
    <col min="4" max="4" width="10.42578125" style="2" customWidth="1"/>
    <col min="5" max="5" width="68.85546875" style="2" customWidth="1"/>
    <col min="6" max="6" width="11" style="2"/>
    <col min="7" max="7" width="12.7109375" style="2" customWidth="1"/>
    <col min="8" max="8" width="13.85546875" style="2" customWidth="1"/>
    <col min="9" max="9" width="18.5703125" style="2" customWidth="1"/>
    <col min="10" max="16384" width="11" style="2"/>
  </cols>
  <sheetData>
    <row r="2" spans="1:9" ht="27" x14ac:dyDescent="0.35">
      <c r="B2" s="185" t="s">
        <v>0</v>
      </c>
      <c r="C2" s="185"/>
      <c r="D2" s="185"/>
      <c r="E2" s="185"/>
      <c r="F2" s="185"/>
      <c r="G2" s="185"/>
      <c r="H2" s="185"/>
    </row>
    <row r="4" spans="1:9" ht="18" customHeight="1" x14ac:dyDescent="0.25">
      <c r="A4" s="182" t="s">
        <v>1</v>
      </c>
      <c r="B4" s="182"/>
      <c r="C4" s="186" t="s">
        <v>27</v>
      </c>
      <c r="D4" s="186"/>
      <c r="E4" s="186"/>
      <c r="F4" s="3"/>
      <c r="G4" s="4"/>
      <c r="H4" s="3"/>
    </row>
    <row r="5" spans="1:9" ht="18" customHeight="1" x14ac:dyDescent="0.25">
      <c r="A5" s="182" t="s">
        <v>2</v>
      </c>
      <c r="B5" s="182"/>
      <c r="C5" s="186" t="s">
        <v>23</v>
      </c>
      <c r="D5" s="186"/>
      <c r="E5" s="186"/>
      <c r="F5" s="3"/>
      <c r="G5" s="4"/>
      <c r="H5" s="3"/>
    </row>
    <row r="6" spans="1:9" ht="16.5" customHeight="1" x14ac:dyDescent="0.25">
      <c r="A6" s="182" t="s">
        <v>3</v>
      </c>
      <c r="B6" s="182"/>
      <c r="C6" s="21">
        <v>2020</v>
      </c>
      <c r="D6" s="22"/>
      <c r="E6" s="22"/>
      <c r="F6" s="3"/>
      <c r="G6" s="4"/>
      <c r="H6" s="3"/>
    </row>
    <row r="7" spans="1:9" ht="16.5" customHeight="1" x14ac:dyDescent="0.25">
      <c r="A7" s="182" t="s">
        <v>4</v>
      </c>
      <c r="B7" s="182"/>
      <c r="C7" s="21">
        <v>3</v>
      </c>
      <c r="D7" s="22"/>
      <c r="E7" s="22"/>
      <c r="F7" s="3"/>
      <c r="G7" s="4"/>
      <c r="H7" s="3"/>
    </row>
    <row r="8" spans="1:9" ht="13.5" thickBot="1" x14ac:dyDescent="0.25">
      <c r="B8" s="3"/>
      <c r="C8" s="4"/>
      <c r="D8" s="3"/>
      <c r="E8" s="3"/>
      <c r="F8" s="3"/>
      <c r="G8" s="4"/>
      <c r="H8" s="3"/>
    </row>
    <row r="9" spans="1:9" ht="39" thickBot="1" x14ac:dyDescent="0.25">
      <c r="A9" s="24" t="s">
        <v>5</v>
      </c>
      <c r="B9" s="33" t="s">
        <v>6</v>
      </c>
      <c r="C9" s="33" t="s">
        <v>7</v>
      </c>
      <c r="D9" s="29" t="s">
        <v>8</v>
      </c>
      <c r="E9" s="33" t="s">
        <v>9</v>
      </c>
      <c r="F9" s="25" t="s">
        <v>10</v>
      </c>
      <c r="G9" s="26" t="s">
        <v>11</v>
      </c>
      <c r="H9" s="26" t="s">
        <v>12</v>
      </c>
      <c r="I9" s="27" t="s">
        <v>13</v>
      </c>
    </row>
    <row r="10" spans="1:9" ht="13.5" thickBot="1" x14ac:dyDescent="0.25">
      <c r="A10" s="34">
        <v>28</v>
      </c>
      <c r="B10" s="35" t="s">
        <v>67</v>
      </c>
      <c r="C10" s="36" t="s">
        <v>68</v>
      </c>
      <c r="D10" s="37" t="s">
        <v>69</v>
      </c>
      <c r="E10" s="36" t="s">
        <v>70</v>
      </c>
      <c r="F10" s="38" t="s">
        <v>14</v>
      </c>
      <c r="G10" s="39">
        <v>240</v>
      </c>
      <c r="H10" s="91">
        <v>450</v>
      </c>
      <c r="I10" s="92">
        <f>+G10*H10</f>
        <v>108000</v>
      </c>
    </row>
    <row r="12" spans="1:9" ht="13.5" thickBot="1" x14ac:dyDescent="0.25"/>
    <row r="13" spans="1:9" x14ac:dyDescent="0.2">
      <c r="B13" s="8" t="s">
        <v>15</v>
      </c>
      <c r="C13" s="9"/>
      <c r="D13" s="9"/>
      <c r="E13" s="10"/>
    </row>
    <row r="14" spans="1:9" ht="5.25" customHeight="1" x14ac:dyDescent="0.2">
      <c r="B14" s="11"/>
      <c r="C14" s="12"/>
      <c r="D14" s="12"/>
      <c r="E14" s="13"/>
    </row>
    <row r="15" spans="1:9" x14ac:dyDescent="0.2">
      <c r="B15" s="14" t="s">
        <v>16</v>
      </c>
      <c r="C15" s="12"/>
      <c r="D15" s="12"/>
      <c r="E15" s="13"/>
    </row>
    <row r="16" spans="1:9" ht="25.5" customHeight="1" x14ac:dyDescent="0.2">
      <c r="B16" s="179" t="s">
        <v>82</v>
      </c>
      <c r="C16" s="180"/>
      <c r="D16" s="180"/>
      <c r="E16" s="181"/>
    </row>
    <row r="17" spans="2:5" ht="13.5" thickBot="1" x14ac:dyDescent="0.25">
      <c r="B17" s="14" t="s">
        <v>17</v>
      </c>
      <c r="C17" s="12"/>
      <c r="D17" s="12"/>
      <c r="E17" s="13"/>
    </row>
    <row r="18" spans="2:5" ht="13.5" thickBot="1" x14ac:dyDescent="0.25">
      <c r="B18" s="176" t="s">
        <v>98</v>
      </c>
      <c r="C18" s="177"/>
      <c r="D18" s="177"/>
      <c r="E18" s="178"/>
    </row>
    <row r="19" spans="2:5" ht="13.5" thickBot="1" x14ac:dyDescent="0.25">
      <c r="B19" s="176" t="s">
        <v>99</v>
      </c>
      <c r="C19" s="178"/>
      <c r="D19" s="50" t="s">
        <v>11</v>
      </c>
      <c r="E19" s="50" t="s">
        <v>100</v>
      </c>
    </row>
    <row r="20" spans="2:5" x14ac:dyDescent="0.2">
      <c r="B20" s="183" t="str">
        <f>'[1]COMEDORES EMERGENTES'!$B$3</f>
        <v>UNA SONRISA AV. LOS COBACHO</v>
      </c>
      <c r="C20" s="184"/>
      <c r="D20" s="89">
        <v>1</v>
      </c>
      <c r="E20" s="90" t="str">
        <f>'[1]COMEDORES EMERGENTES'!$G$3</f>
        <v>Bº SAN CARLOS OESTE AV. Bonifacio cobacho 670</v>
      </c>
    </row>
    <row r="21" spans="2:5" x14ac:dyDescent="0.2">
      <c r="B21" s="174" t="str">
        <f>'[1]COMEDORES EMERGENTES'!$B$4</f>
        <v>C.I.F Nº1 - RIVERA DEL VALLE Y FLORIDA</v>
      </c>
      <c r="C21" s="175"/>
      <c r="D21" s="89">
        <v>1</v>
      </c>
      <c r="E21" s="90" t="str">
        <f>'[1]COMEDORES EMERGENTES'!$G$4</f>
        <v>AV. RIVIERA DEL VALLE ENTRE FLORIDA Y SANTA FE</v>
      </c>
    </row>
    <row r="22" spans="2:5" x14ac:dyDescent="0.2">
      <c r="B22" s="174" t="str">
        <f>'[1]COMEDORES EMERGENTES'!$B$5</f>
        <v>C.I.F - RIVERA DEL VALLE - DILORENZO</v>
      </c>
      <c r="C22" s="175"/>
      <c r="D22" s="89">
        <v>1</v>
      </c>
      <c r="E22" s="90" t="str">
        <f>'[1]COMEDORES EMERGENTES'!$G$5</f>
        <v>Bº RIVERA DEL VALLE ENTRE VILLA EUMELIA Y MONTE CRISTO</v>
      </c>
    </row>
    <row r="23" spans="2:5" x14ac:dyDescent="0.2">
      <c r="B23" s="174" t="str">
        <f>'[1]COMEDORES EMERGENTES'!$B$6</f>
        <v>ESFUERZO PROPIO- Bº ALTOS DE CHOYA</v>
      </c>
      <c r="C23" s="175"/>
      <c r="D23" s="89">
        <v>1</v>
      </c>
      <c r="E23" s="90" t="str">
        <f>'[1]COMEDORES EMERGENTES'!$G$6</f>
        <v>Bº MUNICIPAL 35VV. NORTE C/14</v>
      </c>
    </row>
    <row r="24" spans="2:5" x14ac:dyDescent="0.2">
      <c r="B24" s="174" t="str">
        <f>'[1]COMEDORES EMERGENTES'!$B$7</f>
        <v>ANGELITOS - LOTEO SUSSEX</v>
      </c>
      <c r="C24" s="175"/>
      <c r="D24" s="89">
        <v>1</v>
      </c>
      <c r="E24" s="90" t="str">
        <f>'[1]COMEDORES EMERGENTES'!$G$7</f>
        <v>Bº LOTEO SUSEX MZA.Nº 4 LOTE Nº3</v>
      </c>
    </row>
    <row r="25" spans="2:5" x14ac:dyDescent="0.2">
      <c r="B25" s="174" t="str">
        <f>'[1]COMEDORES EMERGENTES'!$B$8</f>
        <v>CLUB DEPORTIVO CHACARITA</v>
      </c>
      <c r="C25" s="175"/>
      <c r="D25" s="89">
        <v>1</v>
      </c>
      <c r="E25" s="90" t="str">
        <f>'[1]COMEDORES EMERGENTES'!$G$8</f>
        <v>CALLE DR.DERMIDIO GALINDEZ C/2660</v>
      </c>
    </row>
    <row r="26" spans="2:5" x14ac:dyDescent="0.2">
      <c r="B26" s="174" t="str">
        <f>'[1]COMEDORES EMERGENTES'!$B$9</f>
        <v>LA MORO</v>
      </c>
      <c r="C26" s="175"/>
      <c r="D26" s="89">
        <v>1</v>
      </c>
      <c r="E26" s="90" t="str">
        <f>'[1]COMEDORES EMERGENTES'!$G$9</f>
        <v>MAIPU NORTE 1º ETAPA MZA "H" Bº MI JARDIN</v>
      </c>
    </row>
    <row r="27" spans="2:5" x14ac:dyDescent="0.2">
      <c r="B27" s="174" t="str">
        <f>'[1]COMEDORES EMERGENTES'!$B$10</f>
        <v>PAPA FRANCISCO</v>
      </c>
      <c r="C27" s="175"/>
      <c r="D27" s="89">
        <v>1</v>
      </c>
      <c r="E27" s="90" t="str">
        <f>'[1]COMEDORES EMERGENTES'!$G$10</f>
        <v>ENTRE AV.TEREBINTO Y AV.SAN JUAN LOTE "2" MZA. "B"</v>
      </c>
    </row>
    <row r="28" spans="2:5" x14ac:dyDescent="0.2">
      <c r="B28" s="174" t="str">
        <f>'[1]COMEDORES EMERGENTES'!$B$11</f>
        <v>E.P.C - 100 V.V NORTE</v>
      </c>
      <c r="C28" s="175"/>
      <c r="D28" s="89">
        <v>1</v>
      </c>
      <c r="E28" s="90" t="str">
        <f>'[1]COMEDORES EMERGENTES'!$G$11</f>
        <v>Bº VV NORTE C/48 ENTRE ESPAÑA Y FRANCIA</v>
      </c>
    </row>
    <row r="29" spans="2:5" x14ac:dyDescent="0.2">
      <c r="B29" s="174" t="str">
        <f>'[1]COMEDORES EMERGENTES'!$B$12</f>
        <v>HOGAR DE CRISTO - PADRE RAUL CONTRERAS</v>
      </c>
      <c r="C29" s="175"/>
      <c r="D29" s="89">
        <v>1</v>
      </c>
      <c r="E29" s="90" t="str">
        <f>'[1]COMEDORES EMERGENTES'!$G$12</f>
        <v>Bº SANTA MARTA MZA. "S" LOTE "M" C/39</v>
      </c>
    </row>
    <row r="30" spans="2:5" x14ac:dyDescent="0.2">
      <c r="B30" s="174" t="str">
        <f>'[1]COMEDORES EMERGENTES'!$B$13</f>
        <v>LA LUCIERNAGA</v>
      </c>
      <c r="C30" s="175"/>
      <c r="D30" s="89">
        <v>1</v>
      </c>
      <c r="E30" s="90" t="str">
        <f>'[1]COMEDORES EMERGENTES'!$G$13</f>
        <v>Bº 20 V.V NORTE C/3</v>
      </c>
    </row>
    <row r="31" spans="2:5" x14ac:dyDescent="0.2">
      <c r="B31" s="174" t="str">
        <f>'[1]COMEDORES EMERGENTES'!$B$14</f>
        <v>VALLE VIEJO - SUMALAO</v>
      </c>
      <c r="C31" s="175"/>
      <c r="D31" s="89">
        <v>1</v>
      </c>
      <c r="E31" s="90" t="str">
        <f>'[1]COMEDORES EMERGENTES'!$G$14</f>
        <v>PADRE SEGURA S/N</v>
      </c>
    </row>
    <row r="32" spans="2:5" x14ac:dyDescent="0.2">
      <c r="B32" s="174" t="str">
        <f>'[1]COMEDORES EMERGENTES'!$B$15</f>
        <v>NUESTRO FUTURO - LAS VIAS</v>
      </c>
      <c r="C32" s="175"/>
      <c r="D32" s="89">
        <v>1</v>
      </c>
      <c r="E32" s="90" t="str">
        <f>'[1]COMEDORES EMERGENTES'!$G$15</f>
        <v>Bº LAS VIAS OESTE LOTE 42</v>
      </c>
    </row>
    <row r="33" spans="2:5" x14ac:dyDescent="0.2">
      <c r="B33" s="174" t="str">
        <f>'[1]COMEDORES EMERGENTES'!$B$16</f>
        <v>SAN JOSE OBRERO</v>
      </c>
      <c r="C33" s="175"/>
      <c r="D33" s="89">
        <v>1</v>
      </c>
      <c r="E33" s="90" t="str">
        <f>'[1]COMEDORES EMERGENTES'!$G$16</f>
        <v>Bº SAN JOSE OBRERO. PJE. SANDOVAL S/Nº</v>
      </c>
    </row>
    <row r="34" spans="2:5" x14ac:dyDescent="0.2">
      <c r="B34" s="174" t="str">
        <f>'[1]COMEDORES EMERGENTES'!$B$17</f>
        <v>VIRGEN DE LUJAN</v>
      </c>
      <c r="C34" s="175"/>
      <c r="D34" s="89">
        <v>1</v>
      </c>
      <c r="E34" s="90" t="str">
        <f>'[1]COMEDORES EMERGENTES'!$G$17</f>
        <v>Bº OJO DE AGUA C/DR.TEODULFO BARRIONUEVO S/Nº</v>
      </c>
    </row>
    <row r="35" spans="2:5" x14ac:dyDescent="0.2">
      <c r="B35" s="174" t="str">
        <f>'[1]COMEDORES EMERGENTES'!$B$18</f>
        <v>RENACER</v>
      </c>
      <c r="C35" s="175"/>
      <c r="D35" s="89">
        <v>1</v>
      </c>
      <c r="E35" s="90" t="str">
        <f>'[1]COMEDORES EMERGENTES'!$G$18</f>
        <v>Bº VIRGEN MORENITA</v>
      </c>
    </row>
    <row r="36" spans="2:5" x14ac:dyDescent="0.2">
      <c r="B36" s="174" t="str">
        <f>'[1]COMEDORES EMERGENTES'!$B$19</f>
        <v>CENTRO VECINAL MI JARDIN</v>
      </c>
      <c r="C36" s="175"/>
      <c r="D36" s="89">
        <v>1</v>
      </c>
      <c r="E36" s="90" t="str">
        <f>'[1]COMEDORES EMERGENTES'!$G$19</f>
        <v>C/ LOS TULIPANES ENTRE FLOR DE CEREZO Y HOLANDA MZA.27 Bº MI JARDIN</v>
      </c>
    </row>
    <row r="37" spans="2:5" x14ac:dyDescent="0.2">
      <c r="B37" s="174" t="str">
        <f>'[1]COMEDORES EMERGENTES'!$B$20</f>
        <v>LA VIEJA ESQUINA</v>
      </c>
      <c r="C37" s="175"/>
      <c r="D37" s="89">
        <v>1</v>
      </c>
      <c r="E37" s="90" t="str">
        <f>'[1]COMEDORES EMERGENTES'!$G$20</f>
        <v>B° CRISTO REY PJE CAPATAZ VILLAFAÑEZ Y ARMANDO CORREA</v>
      </c>
    </row>
    <row r="38" spans="2:5" x14ac:dyDescent="0.2">
      <c r="B38" s="174" t="str">
        <f>'[1]COMEDORES EMERGENTES'!$B$21</f>
        <v>GAUCHITO GIL</v>
      </c>
      <c r="C38" s="175"/>
      <c r="D38" s="89">
        <v>1</v>
      </c>
      <c r="E38" s="90" t="str">
        <f>'[1]COMEDORES EMERGENTES'!$G$21</f>
        <v>B° 26 VIVIENDAS CASA N° 3</v>
      </c>
    </row>
    <row r="39" spans="2:5" x14ac:dyDescent="0.2">
      <c r="B39" s="174" t="str">
        <f>'[1]COMEDORES EMERGENTES'!$B$22</f>
        <v>LOS TOLDOS</v>
      </c>
      <c r="C39" s="175"/>
      <c r="D39" s="89">
        <v>1</v>
      </c>
      <c r="E39" s="90" t="str">
        <f>'[1]COMEDORES EMERGENTES'!$G$22</f>
        <v>LOTEO PARQUE SUR CALLE S/NOMBRE S/N°</v>
      </c>
    </row>
    <row r="40" spans="2:5" x14ac:dyDescent="0.2">
      <c r="B40" s="14" t="s">
        <v>20</v>
      </c>
      <c r="C40" s="12"/>
      <c r="D40" s="12"/>
      <c r="E40" s="13"/>
    </row>
    <row r="41" spans="2:5" x14ac:dyDescent="0.2">
      <c r="B41" s="187" t="s">
        <v>25</v>
      </c>
      <c r="C41" s="188"/>
      <c r="D41" s="188"/>
      <c r="E41" s="189"/>
    </row>
    <row r="42" spans="2:5" ht="13.5" thickBot="1" x14ac:dyDescent="0.25">
      <c r="B42" s="18"/>
      <c r="C42" s="19"/>
      <c r="D42" s="19"/>
      <c r="E42" s="20"/>
    </row>
  </sheetData>
  <mergeCells count="31">
    <mergeCell ref="B41:E41"/>
    <mergeCell ref="B33:C33"/>
    <mergeCell ref="B34:C34"/>
    <mergeCell ref="B35:C35"/>
    <mergeCell ref="B36:C36"/>
    <mergeCell ref="B37:C37"/>
    <mergeCell ref="B39:C39"/>
    <mergeCell ref="B2:H2"/>
    <mergeCell ref="A4:B4"/>
    <mergeCell ref="C4:E4"/>
    <mergeCell ref="A5:B5"/>
    <mergeCell ref="C5:E5"/>
    <mergeCell ref="A6:B6"/>
    <mergeCell ref="A7:B7"/>
    <mergeCell ref="B19:C19"/>
    <mergeCell ref="B20:C20"/>
    <mergeCell ref="B21:C21"/>
    <mergeCell ref="B22:C22"/>
    <mergeCell ref="B38:C38"/>
    <mergeCell ref="B18:E18"/>
    <mergeCell ref="B16:E16"/>
    <mergeCell ref="B28:C28"/>
    <mergeCell ref="B29:C29"/>
    <mergeCell ref="B30:C30"/>
    <mergeCell ref="B31:C31"/>
    <mergeCell ref="B32:C32"/>
    <mergeCell ref="B23:C23"/>
    <mergeCell ref="B24:C24"/>
    <mergeCell ref="B25:C25"/>
    <mergeCell ref="B26:C26"/>
    <mergeCell ref="B27:C27"/>
  </mergeCells>
  <pageMargins left="0.43307086614173229" right="0.51181102362204722" top="0.31496062992125984" bottom="0.74803149606299213" header="0.31496062992125984" footer="0.31496062992125984"/>
  <pageSetup paperSize="5"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8"/>
  <sheetViews>
    <sheetView workbookViewId="0">
      <selection sqref="A1:XFD1048576"/>
    </sheetView>
  </sheetViews>
  <sheetFormatPr baseColWidth="10" defaultColWidth="11" defaultRowHeight="12.75" x14ac:dyDescent="0.2"/>
  <cols>
    <col min="1" max="1" width="3.5703125" style="2" customWidth="1"/>
    <col min="2" max="2" width="19.28515625" style="2" customWidth="1"/>
    <col min="3" max="3" width="29.28515625" style="2" customWidth="1"/>
    <col min="4" max="4" width="8.85546875" style="2" customWidth="1"/>
    <col min="5" max="5" width="110.140625" style="2" customWidth="1"/>
    <col min="6" max="6" width="11" style="2"/>
    <col min="7" max="7" width="12.7109375" style="2" customWidth="1"/>
    <col min="8" max="8" width="13.85546875" style="2" customWidth="1"/>
    <col min="9" max="9" width="18.5703125" style="2" customWidth="1"/>
    <col min="10" max="16384" width="11" style="2"/>
  </cols>
  <sheetData>
    <row r="2" spans="1:9" ht="27" x14ac:dyDescent="0.35">
      <c r="B2" s="185" t="s">
        <v>0</v>
      </c>
      <c r="C2" s="185"/>
      <c r="D2" s="185"/>
      <c r="E2" s="185"/>
      <c r="F2" s="185"/>
      <c r="G2" s="185"/>
      <c r="H2" s="185"/>
    </row>
    <row r="4" spans="1:9" ht="18" customHeight="1" x14ac:dyDescent="0.25">
      <c r="A4" s="182" t="s">
        <v>1</v>
      </c>
      <c r="B4" s="182"/>
      <c r="C4" s="186" t="s">
        <v>27</v>
      </c>
      <c r="D4" s="186"/>
      <c r="E4" s="186"/>
      <c r="F4" s="3"/>
      <c r="G4" s="4"/>
      <c r="H4" s="3"/>
    </row>
    <row r="5" spans="1:9" ht="18" customHeight="1" x14ac:dyDescent="0.25">
      <c r="A5" s="182" t="s">
        <v>2</v>
      </c>
      <c r="B5" s="182"/>
      <c r="C5" s="186" t="s">
        <v>23</v>
      </c>
      <c r="D5" s="186"/>
      <c r="E5" s="186"/>
      <c r="F5" s="3"/>
      <c r="G5" s="4"/>
      <c r="H5" s="3"/>
    </row>
    <row r="6" spans="1:9" ht="16.5" customHeight="1" x14ac:dyDescent="0.25">
      <c r="A6" s="182" t="s">
        <v>3</v>
      </c>
      <c r="B6" s="182"/>
      <c r="C6" s="21">
        <v>2020</v>
      </c>
      <c r="D6" s="22"/>
      <c r="E6" s="22"/>
      <c r="F6" s="3"/>
      <c r="G6" s="4"/>
      <c r="H6" s="3"/>
    </row>
    <row r="7" spans="1:9" ht="16.5" customHeight="1" x14ac:dyDescent="0.25">
      <c r="A7" s="182" t="s">
        <v>4</v>
      </c>
      <c r="B7" s="182"/>
      <c r="C7" s="21">
        <v>3</v>
      </c>
      <c r="D7" s="22"/>
      <c r="E7" s="22"/>
      <c r="F7" s="3"/>
      <c r="G7" s="4"/>
      <c r="H7" s="3"/>
    </row>
    <row r="8" spans="1:9" ht="13.5" thickBot="1" x14ac:dyDescent="0.25">
      <c r="B8" s="3"/>
      <c r="C8" s="4"/>
      <c r="D8" s="3"/>
      <c r="E8" s="3"/>
      <c r="F8" s="3"/>
      <c r="G8" s="4"/>
      <c r="H8" s="3"/>
    </row>
    <row r="9" spans="1:9" ht="39" thickBot="1" x14ac:dyDescent="0.25">
      <c r="A9" s="24" t="s">
        <v>5</v>
      </c>
      <c r="B9" s="33" t="s">
        <v>6</v>
      </c>
      <c r="C9" s="24" t="s">
        <v>7</v>
      </c>
      <c r="D9" s="24" t="s">
        <v>8</v>
      </c>
      <c r="E9" s="33" t="s">
        <v>9</v>
      </c>
      <c r="F9" s="25" t="s">
        <v>10</v>
      </c>
      <c r="G9" s="26" t="s">
        <v>11</v>
      </c>
      <c r="H9" s="26" t="s">
        <v>12</v>
      </c>
      <c r="I9" s="27" t="s">
        <v>13</v>
      </c>
    </row>
    <row r="10" spans="1:9" x14ac:dyDescent="0.2">
      <c r="A10" s="5">
        <v>1</v>
      </c>
      <c r="B10" s="30" t="s">
        <v>83</v>
      </c>
      <c r="C10" s="44" t="s">
        <v>71</v>
      </c>
      <c r="D10" s="47" t="s">
        <v>72</v>
      </c>
      <c r="E10" s="30" t="s">
        <v>86</v>
      </c>
      <c r="F10" s="40" t="s">
        <v>79</v>
      </c>
      <c r="G10" s="41">
        <v>240</v>
      </c>
      <c r="H10" s="93">
        <v>175</v>
      </c>
      <c r="I10" s="62">
        <f>+H10*G10</f>
        <v>42000</v>
      </c>
    </row>
    <row r="11" spans="1:9" x14ac:dyDescent="0.2">
      <c r="A11" s="6">
        <v>2</v>
      </c>
      <c r="B11" s="23" t="s">
        <v>84</v>
      </c>
      <c r="C11" s="45" t="s">
        <v>71</v>
      </c>
      <c r="D11" s="48" t="s">
        <v>72</v>
      </c>
      <c r="E11" s="23" t="s">
        <v>87</v>
      </c>
      <c r="F11" s="31" t="s">
        <v>79</v>
      </c>
      <c r="G11" s="32">
        <v>240</v>
      </c>
      <c r="H11" s="68">
        <v>225</v>
      </c>
      <c r="I11" s="69">
        <f>+H11*G11</f>
        <v>54000</v>
      </c>
    </row>
    <row r="12" spans="1:9" ht="13.5" thickBot="1" x14ac:dyDescent="0.25">
      <c r="A12" s="7">
        <v>3</v>
      </c>
      <c r="B12" s="28" t="s">
        <v>85</v>
      </c>
      <c r="C12" s="46" t="s">
        <v>71</v>
      </c>
      <c r="D12" s="49" t="s">
        <v>72</v>
      </c>
      <c r="E12" s="28" t="s">
        <v>88</v>
      </c>
      <c r="F12" s="42" t="s">
        <v>79</v>
      </c>
      <c r="G12" s="43">
        <v>240</v>
      </c>
      <c r="H12" s="87">
        <v>320</v>
      </c>
      <c r="I12" s="88">
        <f>+H12*G12</f>
        <v>76800</v>
      </c>
    </row>
    <row r="15" spans="1:9" x14ac:dyDescent="0.2">
      <c r="B15" s="8" t="s">
        <v>15</v>
      </c>
      <c r="C15" s="9"/>
      <c r="D15" s="9"/>
      <c r="E15" s="10"/>
    </row>
    <row r="16" spans="1:9" ht="5.25" customHeight="1" x14ac:dyDescent="0.2">
      <c r="B16" s="11"/>
      <c r="C16" s="12"/>
      <c r="D16" s="12"/>
      <c r="E16" s="13"/>
    </row>
    <row r="17" spans="2:5" x14ac:dyDescent="0.2">
      <c r="B17" s="14" t="s">
        <v>16</v>
      </c>
      <c r="C17" s="12"/>
      <c r="D17" s="12"/>
      <c r="E17" s="13"/>
    </row>
    <row r="18" spans="2:5" ht="25.5" customHeight="1" x14ac:dyDescent="0.2">
      <c r="B18" s="14"/>
      <c r="C18" s="180" t="s">
        <v>89</v>
      </c>
      <c r="D18" s="180"/>
      <c r="E18" s="181"/>
    </row>
    <row r="19" spans="2:5" ht="13.5" thickBot="1" x14ac:dyDescent="0.25">
      <c r="B19" s="14" t="s">
        <v>17</v>
      </c>
      <c r="C19" s="12"/>
      <c r="D19" s="12"/>
      <c r="E19" s="13"/>
    </row>
    <row r="20" spans="2:5" ht="13.5" thickBot="1" x14ac:dyDescent="0.25">
      <c r="B20" s="176" t="s">
        <v>98</v>
      </c>
      <c r="C20" s="177"/>
      <c r="D20" s="177"/>
      <c r="E20" s="178"/>
    </row>
    <row r="21" spans="2:5" ht="13.5" thickBot="1" x14ac:dyDescent="0.25">
      <c r="B21" s="176" t="s">
        <v>99</v>
      </c>
      <c r="C21" s="178"/>
      <c r="D21" s="50" t="s">
        <v>11</v>
      </c>
      <c r="E21" s="50" t="s">
        <v>100</v>
      </c>
    </row>
    <row r="22" spans="2:5" x14ac:dyDescent="0.2">
      <c r="B22" s="183" t="str">
        <f>'[1]COMEDORES EMERGENTES'!$B$3</f>
        <v>UNA SONRISA AV. LOS COBACHO</v>
      </c>
      <c r="C22" s="184"/>
      <c r="D22" s="89">
        <v>1</v>
      </c>
      <c r="E22" s="90" t="str">
        <f>'[1]COMEDORES EMERGENTES'!$G$3</f>
        <v>Bº SAN CARLOS OESTE AV. Bonifacio cobacho 670</v>
      </c>
    </row>
    <row r="23" spans="2:5" x14ac:dyDescent="0.2">
      <c r="B23" s="174" t="str">
        <f>'[1]COMEDORES EMERGENTES'!$B$4</f>
        <v>C.I.F Nº1 - RIVERA DEL VALLE Y FLORIDA</v>
      </c>
      <c r="C23" s="175"/>
      <c r="D23" s="89">
        <v>1</v>
      </c>
      <c r="E23" s="90" t="str">
        <f>'[1]COMEDORES EMERGENTES'!$G$4</f>
        <v>AV. RIVIERA DEL VALLE ENTRE FLORIDA Y SANTA FE</v>
      </c>
    </row>
    <row r="24" spans="2:5" x14ac:dyDescent="0.2">
      <c r="B24" s="174" t="str">
        <f>'[1]COMEDORES EMERGENTES'!$B$5</f>
        <v>C.I.F - RIVERA DEL VALLE - DILORENZO</v>
      </c>
      <c r="C24" s="175"/>
      <c r="D24" s="89">
        <v>1</v>
      </c>
      <c r="E24" s="90" t="str">
        <f>'[1]COMEDORES EMERGENTES'!$G$5</f>
        <v>Bº RIVERA DEL VALLE ENTRE VILLA EUMELIA Y MONTE CRISTO</v>
      </c>
    </row>
    <row r="25" spans="2:5" x14ac:dyDescent="0.2">
      <c r="B25" s="174" t="str">
        <f>'[1]COMEDORES EMERGENTES'!$B$6</f>
        <v>ESFUERZO PROPIO- Bº ALTOS DE CHOYA</v>
      </c>
      <c r="C25" s="175"/>
      <c r="D25" s="89">
        <v>1</v>
      </c>
      <c r="E25" s="90" t="str">
        <f>'[1]COMEDORES EMERGENTES'!$G$6</f>
        <v>Bº MUNICIPAL 35VV. NORTE C/14</v>
      </c>
    </row>
    <row r="26" spans="2:5" x14ac:dyDescent="0.2">
      <c r="B26" s="174" t="str">
        <f>'[1]COMEDORES EMERGENTES'!$B$7</f>
        <v>ANGELITOS - LOTEO SUSSEX</v>
      </c>
      <c r="C26" s="175"/>
      <c r="D26" s="89">
        <v>1</v>
      </c>
      <c r="E26" s="90" t="str">
        <f>'[1]COMEDORES EMERGENTES'!$G$7</f>
        <v>Bº LOTEO SUSEX MZA.Nº 4 LOTE Nº3</v>
      </c>
    </row>
    <row r="27" spans="2:5" x14ac:dyDescent="0.2">
      <c r="B27" s="174" t="str">
        <f>'[1]COMEDORES EMERGENTES'!$B$8</f>
        <v>CLUB DEPORTIVO CHACARITA</v>
      </c>
      <c r="C27" s="175"/>
      <c r="D27" s="89">
        <v>1</v>
      </c>
      <c r="E27" s="90" t="str">
        <f>'[1]COMEDORES EMERGENTES'!$G$8</f>
        <v>CALLE DR.DERMIDIO GALINDEZ C/2660</v>
      </c>
    </row>
    <row r="28" spans="2:5" x14ac:dyDescent="0.2">
      <c r="B28" s="174" t="str">
        <f>'[1]COMEDORES EMERGENTES'!$B$9</f>
        <v>LA MORO</v>
      </c>
      <c r="C28" s="175"/>
      <c r="D28" s="89">
        <v>1</v>
      </c>
      <c r="E28" s="90" t="str">
        <f>'[1]COMEDORES EMERGENTES'!$G$9</f>
        <v>MAIPU NORTE 1º ETAPA MZA "H" Bº MI JARDIN</v>
      </c>
    </row>
    <row r="29" spans="2:5" x14ac:dyDescent="0.2">
      <c r="B29" s="174" t="str">
        <f>'[1]COMEDORES EMERGENTES'!$B$10</f>
        <v>PAPA FRANCISCO</v>
      </c>
      <c r="C29" s="175"/>
      <c r="D29" s="89">
        <v>1</v>
      </c>
      <c r="E29" s="90" t="str">
        <f>'[1]COMEDORES EMERGENTES'!$G$10</f>
        <v>ENTRE AV.TEREBINTO Y AV.SAN JUAN LOTE "2" MZA. "B"</v>
      </c>
    </row>
    <row r="30" spans="2:5" x14ac:dyDescent="0.2">
      <c r="B30" s="174" t="str">
        <f>'[1]COMEDORES EMERGENTES'!$B$11</f>
        <v>E.P.C - 100 V.V NORTE</v>
      </c>
      <c r="C30" s="175"/>
      <c r="D30" s="89">
        <v>1</v>
      </c>
      <c r="E30" s="90" t="str">
        <f>'[1]COMEDORES EMERGENTES'!$G$11</f>
        <v>Bº VV NORTE C/48 ENTRE ESPAÑA Y FRANCIA</v>
      </c>
    </row>
    <row r="31" spans="2:5" x14ac:dyDescent="0.2">
      <c r="B31" s="174" t="str">
        <f>'[1]COMEDORES EMERGENTES'!$B$12</f>
        <v>HOGAR DE CRISTO - PADRE RAUL CONTRERAS</v>
      </c>
      <c r="C31" s="175"/>
      <c r="D31" s="89">
        <v>1</v>
      </c>
      <c r="E31" s="90" t="str">
        <f>'[1]COMEDORES EMERGENTES'!$G$12</f>
        <v>Bº SANTA MARTA MZA. "S" LOTE "M" C/39</v>
      </c>
    </row>
    <row r="32" spans="2:5" x14ac:dyDescent="0.2">
      <c r="B32" s="174" t="str">
        <f>'[1]COMEDORES EMERGENTES'!$B$13</f>
        <v>LA LUCIERNAGA</v>
      </c>
      <c r="C32" s="175"/>
      <c r="D32" s="89">
        <v>1</v>
      </c>
      <c r="E32" s="90" t="str">
        <f>'[1]COMEDORES EMERGENTES'!$G$13</f>
        <v>Bº 20 V.V NORTE C/3</v>
      </c>
    </row>
    <row r="33" spans="2:5" x14ac:dyDescent="0.2">
      <c r="B33" s="174" t="str">
        <f>'[1]COMEDORES EMERGENTES'!$B$14</f>
        <v>VALLE VIEJO - SUMALAO</v>
      </c>
      <c r="C33" s="175"/>
      <c r="D33" s="89">
        <v>1</v>
      </c>
      <c r="E33" s="90" t="str">
        <f>'[1]COMEDORES EMERGENTES'!$G$14</f>
        <v>PADRE SEGURA S/N</v>
      </c>
    </row>
    <row r="34" spans="2:5" x14ac:dyDescent="0.2">
      <c r="B34" s="174" t="str">
        <f>'[1]COMEDORES EMERGENTES'!$B$15</f>
        <v>NUESTRO FUTURO - LAS VIAS</v>
      </c>
      <c r="C34" s="175"/>
      <c r="D34" s="89">
        <v>1</v>
      </c>
      <c r="E34" s="90" t="str">
        <f>'[1]COMEDORES EMERGENTES'!$G$15</f>
        <v>Bº LAS VIAS OESTE LOTE 42</v>
      </c>
    </row>
    <row r="35" spans="2:5" x14ac:dyDescent="0.2">
      <c r="B35" s="174" t="str">
        <f>'[1]COMEDORES EMERGENTES'!$B$16</f>
        <v>SAN JOSE OBRERO</v>
      </c>
      <c r="C35" s="175"/>
      <c r="D35" s="89">
        <v>1</v>
      </c>
      <c r="E35" s="90" t="str">
        <f>'[1]COMEDORES EMERGENTES'!$G$16</f>
        <v>Bº SAN JOSE OBRERO. PJE. SANDOVAL S/Nº</v>
      </c>
    </row>
    <row r="36" spans="2:5" x14ac:dyDescent="0.2">
      <c r="B36" s="174" t="str">
        <f>'[1]COMEDORES EMERGENTES'!$B$17</f>
        <v>VIRGEN DE LUJAN</v>
      </c>
      <c r="C36" s="175"/>
      <c r="D36" s="89">
        <v>1</v>
      </c>
      <c r="E36" s="90" t="str">
        <f>'[1]COMEDORES EMERGENTES'!$G$17</f>
        <v>Bº OJO DE AGUA C/DR.TEODULFO BARRIONUEVO S/Nº</v>
      </c>
    </row>
    <row r="37" spans="2:5" x14ac:dyDescent="0.2">
      <c r="B37" s="174" t="str">
        <f>'[1]COMEDORES EMERGENTES'!$B$18</f>
        <v>RENACER</v>
      </c>
      <c r="C37" s="175"/>
      <c r="D37" s="89">
        <v>1</v>
      </c>
      <c r="E37" s="90" t="str">
        <f>'[1]COMEDORES EMERGENTES'!$G$18</f>
        <v>Bº VIRGEN MORENITA</v>
      </c>
    </row>
    <row r="38" spans="2:5" x14ac:dyDescent="0.2">
      <c r="B38" s="174" t="str">
        <f>'[1]COMEDORES EMERGENTES'!$B$19</f>
        <v>CENTRO VECINAL MI JARDIN</v>
      </c>
      <c r="C38" s="175"/>
      <c r="D38" s="89">
        <v>1</v>
      </c>
      <c r="E38" s="90" t="str">
        <f>'[1]COMEDORES EMERGENTES'!$G$19</f>
        <v>C/ LOS TULIPANES ENTRE FLOR DE CEREZO Y HOLANDA MZA.27 Bº MI JARDIN</v>
      </c>
    </row>
    <row r="39" spans="2:5" x14ac:dyDescent="0.2">
      <c r="B39" s="174" t="str">
        <f>'[1]COMEDORES EMERGENTES'!$B$20</f>
        <v>LA VIEJA ESQUINA</v>
      </c>
      <c r="C39" s="175"/>
      <c r="D39" s="89">
        <v>1</v>
      </c>
      <c r="E39" s="90" t="str">
        <f>'[1]COMEDORES EMERGENTES'!$G$20</f>
        <v>B° CRISTO REY PJE CAPATAZ VILLAFAÑEZ Y ARMANDO CORREA</v>
      </c>
    </row>
    <row r="40" spans="2:5" x14ac:dyDescent="0.2">
      <c r="B40" s="174" t="str">
        <f>'[1]COMEDORES EMERGENTES'!$B$21</f>
        <v>GAUCHITO GIL</v>
      </c>
      <c r="C40" s="175"/>
      <c r="D40" s="89">
        <v>1</v>
      </c>
      <c r="E40" s="90" t="str">
        <f>'[1]COMEDORES EMERGENTES'!$G$21</f>
        <v>B° 26 VIVIENDAS CASA N° 3</v>
      </c>
    </row>
    <row r="41" spans="2:5" x14ac:dyDescent="0.2">
      <c r="B41" s="174" t="str">
        <f>'[1]COMEDORES EMERGENTES'!$B$22</f>
        <v>LOS TOLDOS</v>
      </c>
      <c r="C41" s="175"/>
      <c r="D41" s="89">
        <v>1</v>
      </c>
      <c r="E41" s="90" t="str">
        <f>'[1]COMEDORES EMERGENTES'!$G$22</f>
        <v>LOTEO PARQUE SUR CALLE S/NOMBRE S/N°</v>
      </c>
    </row>
    <row r="42" spans="2:5" x14ac:dyDescent="0.2">
      <c r="B42" s="14" t="s">
        <v>18</v>
      </c>
      <c r="C42" s="12"/>
      <c r="D42" s="12"/>
      <c r="E42" s="13"/>
    </row>
    <row r="43" spans="2:5" x14ac:dyDescent="0.2">
      <c r="B43" s="15"/>
      <c r="C43" s="190" t="s">
        <v>24</v>
      </c>
      <c r="D43" s="190"/>
      <c r="E43" s="190"/>
    </row>
    <row r="44" spans="2:5" x14ac:dyDescent="0.2">
      <c r="B44" s="14" t="s">
        <v>19</v>
      </c>
      <c r="C44" s="16"/>
      <c r="D44" s="16"/>
      <c r="E44" s="17"/>
    </row>
    <row r="45" spans="2:5" x14ac:dyDescent="0.2">
      <c r="B45" s="15"/>
      <c r="C45" s="190" t="s">
        <v>101</v>
      </c>
      <c r="D45" s="190"/>
      <c r="E45" s="190"/>
    </row>
    <row r="46" spans="2:5" x14ac:dyDescent="0.2">
      <c r="B46" s="14" t="s">
        <v>20</v>
      </c>
      <c r="C46" s="12"/>
      <c r="D46" s="12"/>
      <c r="E46" s="13"/>
    </row>
    <row r="47" spans="2:5" x14ac:dyDescent="0.2">
      <c r="B47" s="14"/>
      <c r="C47" s="189" t="s">
        <v>25</v>
      </c>
      <c r="D47" s="189"/>
      <c r="E47" s="189"/>
    </row>
    <row r="48" spans="2:5" ht="13.5" thickBot="1" x14ac:dyDescent="0.25">
      <c r="B48" s="18"/>
      <c r="C48" s="19"/>
      <c r="D48" s="19"/>
      <c r="E48" s="20"/>
    </row>
    <row r="50" spans="2:5" x14ac:dyDescent="0.2">
      <c r="B50" s="8" t="s">
        <v>21</v>
      </c>
      <c r="C50" s="9"/>
      <c r="D50" s="9"/>
      <c r="E50" s="10"/>
    </row>
    <row r="51" spans="2:5" x14ac:dyDescent="0.2">
      <c r="B51" s="11"/>
      <c r="C51" s="12"/>
      <c r="D51" s="12"/>
      <c r="E51" s="13"/>
    </row>
    <row r="52" spans="2:5" x14ac:dyDescent="0.2">
      <c r="B52" s="14" t="s">
        <v>16</v>
      </c>
      <c r="C52" s="12"/>
      <c r="D52" s="12"/>
      <c r="E52" s="13"/>
    </row>
    <row r="53" spans="2:5" ht="25.5" customHeight="1" x14ac:dyDescent="0.2">
      <c r="B53" s="14"/>
      <c r="C53" s="180" t="s">
        <v>89</v>
      </c>
      <c r="D53" s="180"/>
      <c r="E53" s="181"/>
    </row>
    <row r="54" spans="2:5" ht="13.5" thickBot="1" x14ac:dyDescent="0.25">
      <c r="B54" s="14" t="s">
        <v>17</v>
      </c>
      <c r="C54" s="12"/>
      <c r="D54" s="12"/>
      <c r="E54" s="13"/>
    </row>
    <row r="55" spans="2:5" ht="13.5" thickBot="1" x14ac:dyDescent="0.25">
      <c r="B55" s="176" t="s">
        <v>98</v>
      </c>
      <c r="C55" s="177"/>
      <c r="D55" s="177"/>
      <c r="E55" s="178"/>
    </row>
    <row r="56" spans="2:5" ht="13.5" thickBot="1" x14ac:dyDescent="0.25">
      <c r="B56" s="176" t="s">
        <v>99</v>
      </c>
      <c r="C56" s="178"/>
      <c r="D56" s="50" t="s">
        <v>11</v>
      </c>
      <c r="E56" s="50" t="s">
        <v>100</v>
      </c>
    </row>
    <row r="57" spans="2:5" x14ac:dyDescent="0.2">
      <c r="B57" s="183" t="str">
        <f>'[1]COMEDORES EMERGENTES'!$B$3</f>
        <v>UNA SONRISA AV. LOS COBACHO</v>
      </c>
      <c r="C57" s="184"/>
      <c r="D57" s="89">
        <v>1</v>
      </c>
      <c r="E57" s="90" t="str">
        <f>'[1]COMEDORES EMERGENTES'!$G$3</f>
        <v>Bº SAN CARLOS OESTE AV. Bonifacio cobacho 670</v>
      </c>
    </row>
    <row r="58" spans="2:5" x14ac:dyDescent="0.2">
      <c r="B58" s="174" t="str">
        <f>'[1]COMEDORES EMERGENTES'!$B$4</f>
        <v>C.I.F Nº1 - RIVERA DEL VALLE Y FLORIDA</v>
      </c>
      <c r="C58" s="175"/>
      <c r="D58" s="89">
        <v>1</v>
      </c>
      <c r="E58" s="90" t="str">
        <f>'[1]COMEDORES EMERGENTES'!$G$4</f>
        <v>AV. RIVIERA DEL VALLE ENTRE FLORIDA Y SANTA FE</v>
      </c>
    </row>
    <row r="59" spans="2:5" x14ac:dyDescent="0.2">
      <c r="B59" s="174" t="str">
        <f>'[1]COMEDORES EMERGENTES'!$B$5</f>
        <v>C.I.F - RIVERA DEL VALLE - DILORENZO</v>
      </c>
      <c r="C59" s="175"/>
      <c r="D59" s="89">
        <v>1</v>
      </c>
      <c r="E59" s="90" t="str">
        <f>'[1]COMEDORES EMERGENTES'!$G$5</f>
        <v>Bº RIVERA DEL VALLE ENTRE VILLA EUMELIA Y MONTE CRISTO</v>
      </c>
    </row>
    <row r="60" spans="2:5" x14ac:dyDescent="0.2">
      <c r="B60" s="174" t="str">
        <f>'[1]COMEDORES EMERGENTES'!$B$6</f>
        <v>ESFUERZO PROPIO- Bº ALTOS DE CHOYA</v>
      </c>
      <c r="C60" s="175"/>
      <c r="D60" s="89">
        <v>1</v>
      </c>
      <c r="E60" s="90" t="str">
        <f>'[1]COMEDORES EMERGENTES'!$G$6</f>
        <v>Bº MUNICIPAL 35VV. NORTE C/14</v>
      </c>
    </row>
    <row r="61" spans="2:5" x14ac:dyDescent="0.2">
      <c r="B61" s="174" t="str">
        <f>'[1]COMEDORES EMERGENTES'!$B$7</f>
        <v>ANGELITOS - LOTEO SUSSEX</v>
      </c>
      <c r="C61" s="175"/>
      <c r="D61" s="89">
        <v>1</v>
      </c>
      <c r="E61" s="90" t="str">
        <f>'[1]COMEDORES EMERGENTES'!$G$7</f>
        <v>Bº LOTEO SUSEX MZA.Nº 4 LOTE Nº3</v>
      </c>
    </row>
    <row r="62" spans="2:5" x14ac:dyDescent="0.2">
      <c r="B62" s="174" t="str">
        <f>'[1]COMEDORES EMERGENTES'!$B$8</f>
        <v>CLUB DEPORTIVO CHACARITA</v>
      </c>
      <c r="C62" s="175"/>
      <c r="D62" s="89">
        <v>1</v>
      </c>
      <c r="E62" s="90" t="str">
        <f>'[1]COMEDORES EMERGENTES'!$G$8</f>
        <v>CALLE DR.DERMIDIO GALINDEZ C/2660</v>
      </c>
    </row>
    <row r="63" spans="2:5" x14ac:dyDescent="0.2">
      <c r="B63" s="174" t="str">
        <f>'[1]COMEDORES EMERGENTES'!$B$9</f>
        <v>LA MORO</v>
      </c>
      <c r="C63" s="175"/>
      <c r="D63" s="89">
        <v>1</v>
      </c>
      <c r="E63" s="90" t="str">
        <f>'[1]COMEDORES EMERGENTES'!$G$9</f>
        <v>MAIPU NORTE 1º ETAPA MZA "H" Bº MI JARDIN</v>
      </c>
    </row>
    <row r="64" spans="2:5" x14ac:dyDescent="0.2">
      <c r="B64" s="174" t="str">
        <f>'[1]COMEDORES EMERGENTES'!$B$10</f>
        <v>PAPA FRANCISCO</v>
      </c>
      <c r="C64" s="175"/>
      <c r="D64" s="89">
        <v>1</v>
      </c>
      <c r="E64" s="90" t="str">
        <f>'[1]COMEDORES EMERGENTES'!$G$10</f>
        <v>ENTRE AV.TEREBINTO Y AV.SAN JUAN LOTE "2" MZA. "B"</v>
      </c>
    </row>
    <row r="65" spans="2:5" x14ac:dyDescent="0.2">
      <c r="B65" s="174" t="str">
        <f>'[1]COMEDORES EMERGENTES'!$B$11</f>
        <v>E.P.C - 100 V.V NORTE</v>
      </c>
      <c r="C65" s="175"/>
      <c r="D65" s="89">
        <v>1</v>
      </c>
      <c r="E65" s="90" t="str">
        <f>'[1]COMEDORES EMERGENTES'!$G$11</f>
        <v>Bº VV NORTE C/48 ENTRE ESPAÑA Y FRANCIA</v>
      </c>
    </row>
    <row r="66" spans="2:5" x14ac:dyDescent="0.2">
      <c r="B66" s="174" t="str">
        <f>'[1]COMEDORES EMERGENTES'!$B$12</f>
        <v>HOGAR DE CRISTO - PADRE RAUL CONTRERAS</v>
      </c>
      <c r="C66" s="175"/>
      <c r="D66" s="89">
        <v>1</v>
      </c>
      <c r="E66" s="90" t="str">
        <f>'[1]COMEDORES EMERGENTES'!$G$12</f>
        <v>Bº SANTA MARTA MZA. "S" LOTE "M" C/39</v>
      </c>
    </row>
    <row r="67" spans="2:5" x14ac:dyDescent="0.2">
      <c r="B67" s="174" t="str">
        <f>'[1]COMEDORES EMERGENTES'!$B$13</f>
        <v>LA LUCIERNAGA</v>
      </c>
      <c r="C67" s="175"/>
      <c r="D67" s="89">
        <v>1</v>
      </c>
      <c r="E67" s="90" t="str">
        <f>'[1]COMEDORES EMERGENTES'!$G$13</f>
        <v>Bº 20 V.V NORTE C/3</v>
      </c>
    </row>
    <row r="68" spans="2:5" x14ac:dyDescent="0.2">
      <c r="B68" s="174" t="str">
        <f>'[1]COMEDORES EMERGENTES'!$B$14</f>
        <v>VALLE VIEJO - SUMALAO</v>
      </c>
      <c r="C68" s="175"/>
      <c r="D68" s="89">
        <v>1</v>
      </c>
      <c r="E68" s="90" t="str">
        <f>'[1]COMEDORES EMERGENTES'!$G$14</f>
        <v>PADRE SEGURA S/N</v>
      </c>
    </row>
    <row r="69" spans="2:5" x14ac:dyDescent="0.2">
      <c r="B69" s="174" t="str">
        <f>'[1]COMEDORES EMERGENTES'!$B$15</f>
        <v>NUESTRO FUTURO - LAS VIAS</v>
      </c>
      <c r="C69" s="175"/>
      <c r="D69" s="89">
        <v>1</v>
      </c>
      <c r="E69" s="90" t="str">
        <f>'[1]COMEDORES EMERGENTES'!$G$15</f>
        <v>Bº LAS VIAS OESTE LOTE 42</v>
      </c>
    </row>
    <row r="70" spans="2:5" x14ac:dyDescent="0.2">
      <c r="B70" s="174" t="str">
        <f>'[1]COMEDORES EMERGENTES'!$B$16</f>
        <v>SAN JOSE OBRERO</v>
      </c>
      <c r="C70" s="175"/>
      <c r="D70" s="89">
        <v>1</v>
      </c>
      <c r="E70" s="90" t="str">
        <f>'[1]COMEDORES EMERGENTES'!$G$16</f>
        <v>Bº SAN JOSE OBRERO. PJE. SANDOVAL S/Nº</v>
      </c>
    </row>
    <row r="71" spans="2:5" x14ac:dyDescent="0.2">
      <c r="B71" s="174" t="str">
        <f>'[1]COMEDORES EMERGENTES'!$B$17</f>
        <v>VIRGEN DE LUJAN</v>
      </c>
      <c r="C71" s="175"/>
      <c r="D71" s="89">
        <v>1</v>
      </c>
      <c r="E71" s="90" t="str">
        <f>'[1]COMEDORES EMERGENTES'!$G$17</f>
        <v>Bº OJO DE AGUA C/DR.TEODULFO BARRIONUEVO S/Nº</v>
      </c>
    </row>
    <row r="72" spans="2:5" x14ac:dyDescent="0.2">
      <c r="B72" s="174" t="str">
        <f>'[1]COMEDORES EMERGENTES'!$B$18</f>
        <v>RENACER</v>
      </c>
      <c r="C72" s="175"/>
      <c r="D72" s="89">
        <v>1</v>
      </c>
      <c r="E72" s="90" t="str">
        <f>'[1]COMEDORES EMERGENTES'!$G$18</f>
        <v>Bº VIRGEN MORENITA</v>
      </c>
    </row>
    <row r="73" spans="2:5" x14ac:dyDescent="0.2">
      <c r="B73" s="174" t="str">
        <f>'[1]COMEDORES EMERGENTES'!$B$19</f>
        <v>CENTRO VECINAL MI JARDIN</v>
      </c>
      <c r="C73" s="175"/>
      <c r="D73" s="89">
        <v>1</v>
      </c>
      <c r="E73" s="90" t="str">
        <f>'[1]COMEDORES EMERGENTES'!$G$19</f>
        <v>C/ LOS TULIPANES ENTRE FLOR DE CEREZO Y HOLANDA MZA.27 Bº MI JARDIN</v>
      </c>
    </row>
    <row r="74" spans="2:5" x14ac:dyDescent="0.2">
      <c r="B74" s="174" t="str">
        <f>'[1]COMEDORES EMERGENTES'!$B$20</f>
        <v>LA VIEJA ESQUINA</v>
      </c>
      <c r="C74" s="175"/>
      <c r="D74" s="89">
        <v>1</v>
      </c>
      <c r="E74" s="90" t="str">
        <f>'[1]COMEDORES EMERGENTES'!$G$20</f>
        <v>B° CRISTO REY PJE CAPATAZ VILLAFAÑEZ Y ARMANDO CORREA</v>
      </c>
    </row>
    <row r="75" spans="2:5" x14ac:dyDescent="0.2">
      <c r="B75" s="174" t="str">
        <f>'[1]COMEDORES EMERGENTES'!$B$21</f>
        <v>GAUCHITO GIL</v>
      </c>
      <c r="C75" s="175"/>
      <c r="D75" s="89">
        <v>1</v>
      </c>
      <c r="E75" s="90" t="str">
        <f>'[1]COMEDORES EMERGENTES'!$G$21</f>
        <v>B° 26 VIVIENDAS CASA N° 3</v>
      </c>
    </row>
    <row r="76" spans="2:5" x14ac:dyDescent="0.2">
      <c r="B76" s="174" t="str">
        <f>'[1]COMEDORES EMERGENTES'!$B$22</f>
        <v>LOS TOLDOS</v>
      </c>
      <c r="C76" s="175"/>
      <c r="D76" s="89">
        <v>1</v>
      </c>
      <c r="E76" s="90" t="str">
        <f>'[1]COMEDORES EMERGENTES'!$G$22</f>
        <v>LOTEO PARQUE SUR CALLE S/NOMBRE S/N°</v>
      </c>
    </row>
    <row r="77" spans="2:5" x14ac:dyDescent="0.2">
      <c r="B77" s="14" t="s">
        <v>18</v>
      </c>
      <c r="C77" s="12"/>
      <c r="D77" s="12"/>
      <c r="E77" s="13"/>
    </row>
    <row r="78" spans="2:5" x14ac:dyDescent="0.2">
      <c r="B78" s="15"/>
      <c r="C78" s="190" t="s">
        <v>24</v>
      </c>
      <c r="D78" s="190"/>
      <c r="E78" s="190"/>
    </row>
    <row r="79" spans="2:5" x14ac:dyDescent="0.2">
      <c r="B79" s="14" t="s">
        <v>19</v>
      </c>
      <c r="C79" s="16"/>
      <c r="D79" s="16"/>
      <c r="E79" s="17"/>
    </row>
    <row r="80" spans="2:5" x14ac:dyDescent="0.2">
      <c r="B80" s="15"/>
      <c r="C80" s="190" t="s">
        <v>101</v>
      </c>
      <c r="D80" s="190"/>
      <c r="E80" s="190"/>
    </row>
    <row r="81" spans="2:5" x14ac:dyDescent="0.2">
      <c r="B81" s="14" t="s">
        <v>20</v>
      </c>
      <c r="C81" s="12"/>
      <c r="D81" s="12"/>
      <c r="E81" s="13"/>
    </row>
    <row r="82" spans="2:5" x14ac:dyDescent="0.2">
      <c r="B82" s="14"/>
      <c r="C82" s="189" t="s">
        <v>25</v>
      </c>
      <c r="D82" s="189"/>
      <c r="E82" s="189"/>
    </row>
    <row r="83" spans="2:5" ht="13.5" thickBot="1" x14ac:dyDescent="0.25">
      <c r="B83" s="18"/>
      <c r="C83" s="19"/>
      <c r="D83" s="19"/>
      <c r="E83" s="20"/>
    </row>
    <row r="84" spans="2:5" ht="13.5" thickBot="1" x14ac:dyDescent="0.25"/>
    <row r="85" spans="2:5" x14ac:dyDescent="0.2">
      <c r="B85" s="8" t="s">
        <v>26</v>
      </c>
      <c r="C85" s="9"/>
      <c r="D85" s="9"/>
      <c r="E85" s="10"/>
    </row>
    <row r="86" spans="2:5" x14ac:dyDescent="0.2">
      <c r="B86" s="11"/>
      <c r="C86" s="12"/>
      <c r="D86" s="12"/>
      <c r="E86" s="13"/>
    </row>
    <row r="87" spans="2:5" x14ac:dyDescent="0.2">
      <c r="B87" s="14" t="s">
        <v>16</v>
      </c>
      <c r="C87" s="12"/>
      <c r="D87" s="12"/>
      <c r="E87" s="13"/>
    </row>
    <row r="88" spans="2:5" ht="25.5" customHeight="1" x14ac:dyDescent="0.2">
      <c r="B88" s="14"/>
      <c r="C88" s="180" t="s">
        <v>89</v>
      </c>
      <c r="D88" s="180"/>
      <c r="E88" s="181"/>
    </row>
    <row r="89" spans="2:5" ht="13.5" thickBot="1" x14ac:dyDescent="0.25">
      <c r="B89" s="14" t="s">
        <v>17</v>
      </c>
      <c r="C89" s="12"/>
      <c r="D89" s="12"/>
      <c r="E89" s="13"/>
    </row>
    <row r="90" spans="2:5" ht="13.5" thickBot="1" x14ac:dyDescent="0.25">
      <c r="B90" s="176" t="s">
        <v>98</v>
      </c>
      <c r="C90" s="177"/>
      <c r="D90" s="177"/>
      <c r="E90" s="178"/>
    </row>
    <row r="91" spans="2:5" ht="13.5" thickBot="1" x14ac:dyDescent="0.25">
      <c r="B91" s="176" t="s">
        <v>99</v>
      </c>
      <c r="C91" s="178"/>
      <c r="D91" s="50" t="s">
        <v>11</v>
      </c>
      <c r="E91" s="50" t="s">
        <v>100</v>
      </c>
    </row>
    <row r="92" spans="2:5" x14ac:dyDescent="0.2">
      <c r="B92" s="183" t="str">
        <f>'[1]COMEDORES EMERGENTES'!$B$3</f>
        <v>UNA SONRISA AV. LOS COBACHO</v>
      </c>
      <c r="C92" s="184"/>
      <c r="D92" s="89">
        <v>1</v>
      </c>
      <c r="E92" s="90" t="str">
        <f>'[1]COMEDORES EMERGENTES'!$G$3</f>
        <v>Bº SAN CARLOS OESTE AV. Bonifacio cobacho 670</v>
      </c>
    </row>
    <row r="93" spans="2:5" x14ac:dyDescent="0.2">
      <c r="B93" s="174" t="str">
        <f>'[1]COMEDORES EMERGENTES'!$B$4</f>
        <v>C.I.F Nº1 - RIVERA DEL VALLE Y FLORIDA</v>
      </c>
      <c r="C93" s="175"/>
      <c r="D93" s="89">
        <v>1</v>
      </c>
      <c r="E93" s="90" t="str">
        <f>'[1]COMEDORES EMERGENTES'!$G$4</f>
        <v>AV. RIVIERA DEL VALLE ENTRE FLORIDA Y SANTA FE</v>
      </c>
    </row>
    <row r="94" spans="2:5" x14ac:dyDescent="0.2">
      <c r="B94" s="174" t="str">
        <f>'[1]COMEDORES EMERGENTES'!$B$5</f>
        <v>C.I.F - RIVERA DEL VALLE - DILORENZO</v>
      </c>
      <c r="C94" s="175"/>
      <c r="D94" s="89">
        <v>1</v>
      </c>
      <c r="E94" s="90" t="str">
        <f>'[1]COMEDORES EMERGENTES'!$G$5</f>
        <v>Bº RIVERA DEL VALLE ENTRE VILLA EUMELIA Y MONTE CRISTO</v>
      </c>
    </row>
    <row r="95" spans="2:5" x14ac:dyDescent="0.2">
      <c r="B95" s="174" t="str">
        <f>'[1]COMEDORES EMERGENTES'!$B$6</f>
        <v>ESFUERZO PROPIO- Bº ALTOS DE CHOYA</v>
      </c>
      <c r="C95" s="175"/>
      <c r="D95" s="89">
        <v>1</v>
      </c>
      <c r="E95" s="90" t="str">
        <f>'[1]COMEDORES EMERGENTES'!$G$6</f>
        <v>Bº MUNICIPAL 35VV. NORTE C/14</v>
      </c>
    </row>
    <row r="96" spans="2:5" x14ac:dyDescent="0.2">
      <c r="B96" s="174" t="str">
        <f>'[1]COMEDORES EMERGENTES'!$B$7</f>
        <v>ANGELITOS - LOTEO SUSSEX</v>
      </c>
      <c r="C96" s="175"/>
      <c r="D96" s="89">
        <v>1</v>
      </c>
      <c r="E96" s="90" t="str">
        <f>'[1]COMEDORES EMERGENTES'!$G$7</f>
        <v>Bº LOTEO SUSEX MZA.Nº 4 LOTE Nº3</v>
      </c>
    </row>
    <row r="97" spans="2:5" x14ac:dyDescent="0.2">
      <c r="B97" s="174" t="str">
        <f>'[1]COMEDORES EMERGENTES'!$B$8</f>
        <v>CLUB DEPORTIVO CHACARITA</v>
      </c>
      <c r="C97" s="175"/>
      <c r="D97" s="89">
        <v>1</v>
      </c>
      <c r="E97" s="90" t="str">
        <f>'[1]COMEDORES EMERGENTES'!$G$8</f>
        <v>CALLE DR.DERMIDIO GALINDEZ C/2660</v>
      </c>
    </row>
    <row r="98" spans="2:5" x14ac:dyDescent="0.2">
      <c r="B98" s="174" t="str">
        <f>'[1]COMEDORES EMERGENTES'!$B$9</f>
        <v>LA MORO</v>
      </c>
      <c r="C98" s="175"/>
      <c r="D98" s="89">
        <v>1</v>
      </c>
      <c r="E98" s="90" t="str">
        <f>'[1]COMEDORES EMERGENTES'!$G$9</f>
        <v>MAIPU NORTE 1º ETAPA MZA "H" Bº MI JARDIN</v>
      </c>
    </row>
    <row r="99" spans="2:5" x14ac:dyDescent="0.2">
      <c r="B99" s="174" t="str">
        <f>'[1]COMEDORES EMERGENTES'!$B$10</f>
        <v>PAPA FRANCISCO</v>
      </c>
      <c r="C99" s="175"/>
      <c r="D99" s="89">
        <v>1</v>
      </c>
      <c r="E99" s="90" t="str">
        <f>'[1]COMEDORES EMERGENTES'!$G$10</f>
        <v>ENTRE AV.TEREBINTO Y AV.SAN JUAN LOTE "2" MZA. "B"</v>
      </c>
    </row>
    <row r="100" spans="2:5" x14ac:dyDescent="0.2">
      <c r="B100" s="174" t="str">
        <f>'[1]COMEDORES EMERGENTES'!$B$11</f>
        <v>E.P.C - 100 V.V NORTE</v>
      </c>
      <c r="C100" s="175"/>
      <c r="D100" s="89">
        <v>1</v>
      </c>
      <c r="E100" s="90" t="str">
        <f>'[1]COMEDORES EMERGENTES'!$G$11</f>
        <v>Bº VV NORTE C/48 ENTRE ESPAÑA Y FRANCIA</v>
      </c>
    </row>
    <row r="101" spans="2:5" x14ac:dyDescent="0.2">
      <c r="B101" s="174" t="str">
        <f>'[1]COMEDORES EMERGENTES'!$B$12</f>
        <v>HOGAR DE CRISTO - PADRE RAUL CONTRERAS</v>
      </c>
      <c r="C101" s="175"/>
      <c r="D101" s="89">
        <v>1</v>
      </c>
      <c r="E101" s="90" t="str">
        <f>'[1]COMEDORES EMERGENTES'!$G$12</f>
        <v>Bº SANTA MARTA MZA. "S" LOTE "M" C/39</v>
      </c>
    </row>
    <row r="102" spans="2:5" x14ac:dyDescent="0.2">
      <c r="B102" s="174" t="str">
        <f>'[1]COMEDORES EMERGENTES'!$B$13</f>
        <v>LA LUCIERNAGA</v>
      </c>
      <c r="C102" s="175"/>
      <c r="D102" s="89">
        <v>1</v>
      </c>
      <c r="E102" s="90" t="str">
        <f>'[1]COMEDORES EMERGENTES'!$G$13</f>
        <v>Bº 20 V.V NORTE C/3</v>
      </c>
    </row>
    <row r="103" spans="2:5" x14ac:dyDescent="0.2">
      <c r="B103" s="174" t="str">
        <f>'[1]COMEDORES EMERGENTES'!$B$14</f>
        <v>VALLE VIEJO - SUMALAO</v>
      </c>
      <c r="C103" s="175"/>
      <c r="D103" s="89">
        <v>1</v>
      </c>
      <c r="E103" s="90" t="str">
        <f>'[1]COMEDORES EMERGENTES'!$G$14</f>
        <v>PADRE SEGURA S/N</v>
      </c>
    </row>
    <row r="104" spans="2:5" x14ac:dyDescent="0.2">
      <c r="B104" s="174" t="str">
        <f>'[1]COMEDORES EMERGENTES'!$B$15</f>
        <v>NUESTRO FUTURO - LAS VIAS</v>
      </c>
      <c r="C104" s="175"/>
      <c r="D104" s="89">
        <v>1</v>
      </c>
      <c r="E104" s="90" t="str">
        <f>'[1]COMEDORES EMERGENTES'!$G$15</f>
        <v>Bº LAS VIAS OESTE LOTE 42</v>
      </c>
    </row>
    <row r="105" spans="2:5" x14ac:dyDescent="0.2">
      <c r="B105" s="174" t="str">
        <f>'[1]COMEDORES EMERGENTES'!$B$16</f>
        <v>SAN JOSE OBRERO</v>
      </c>
      <c r="C105" s="175"/>
      <c r="D105" s="89">
        <v>1</v>
      </c>
      <c r="E105" s="90" t="str">
        <f>'[1]COMEDORES EMERGENTES'!$G$16</f>
        <v>Bº SAN JOSE OBRERO. PJE. SANDOVAL S/Nº</v>
      </c>
    </row>
    <row r="106" spans="2:5" x14ac:dyDescent="0.2">
      <c r="B106" s="174" t="str">
        <f>'[1]COMEDORES EMERGENTES'!$B$17</f>
        <v>VIRGEN DE LUJAN</v>
      </c>
      <c r="C106" s="175"/>
      <c r="D106" s="89">
        <v>1</v>
      </c>
      <c r="E106" s="90" t="str">
        <f>'[1]COMEDORES EMERGENTES'!$G$17</f>
        <v>Bº OJO DE AGUA C/DR.TEODULFO BARRIONUEVO S/Nº</v>
      </c>
    </row>
    <row r="107" spans="2:5" x14ac:dyDescent="0.2">
      <c r="B107" s="174" t="str">
        <f>'[1]COMEDORES EMERGENTES'!$B$18</f>
        <v>RENACER</v>
      </c>
      <c r="C107" s="175"/>
      <c r="D107" s="89">
        <v>1</v>
      </c>
      <c r="E107" s="90" t="str">
        <f>'[1]COMEDORES EMERGENTES'!$G$18</f>
        <v>Bº VIRGEN MORENITA</v>
      </c>
    </row>
    <row r="108" spans="2:5" x14ac:dyDescent="0.2">
      <c r="B108" s="174" t="str">
        <f>'[1]COMEDORES EMERGENTES'!$B$19</f>
        <v>CENTRO VECINAL MI JARDIN</v>
      </c>
      <c r="C108" s="175"/>
      <c r="D108" s="89">
        <v>1</v>
      </c>
      <c r="E108" s="90" t="str">
        <f>'[1]COMEDORES EMERGENTES'!$G$19</f>
        <v>C/ LOS TULIPANES ENTRE FLOR DE CEREZO Y HOLANDA MZA.27 Bº MI JARDIN</v>
      </c>
    </row>
    <row r="109" spans="2:5" x14ac:dyDescent="0.2">
      <c r="B109" s="174" t="str">
        <f>'[1]COMEDORES EMERGENTES'!$B$20</f>
        <v>LA VIEJA ESQUINA</v>
      </c>
      <c r="C109" s="175"/>
      <c r="D109" s="89">
        <v>1</v>
      </c>
      <c r="E109" s="90" t="str">
        <f>'[1]COMEDORES EMERGENTES'!$G$20</f>
        <v>B° CRISTO REY PJE CAPATAZ VILLAFAÑEZ Y ARMANDO CORREA</v>
      </c>
    </row>
    <row r="110" spans="2:5" x14ac:dyDescent="0.2">
      <c r="B110" s="174" t="str">
        <f>'[1]COMEDORES EMERGENTES'!$B$21</f>
        <v>GAUCHITO GIL</v>
      </c>
      <c r="C110" s="175"/>
      <c r="D110" s="89">
        <v>1</v>
      </c>
      <c r="E110" s="90" t="str">
        <f>'[1]COMEDORES EMERGENTES'!$G$21</f>
        <v>B° 26 VIVIENDAS CASA N° 3</v>
      </c>
    </row>
    <row r="111" spans="2:5" x14ac:dyDescent="0.2">
      <c r="B111" s="174" t="str">
        <f>'[1]COMEDORES EMERGENTES'!$B$22</f>
        <v>LOS TOLDOS</v>
      </c>
      <c r="C111" s="175"/>
      <c r="D111" s="89">
        <v>1</v>
      </c>
      <c r="E111" s="90" t="str">
        <f>'[1]COMEDORES EMERGENTES'!$G$22</f>
        <v>LOTEO PARQUE SUR CALLE S/NOMBRE S/N°</v>
      </c>
    </row>
    <row r="112" spans="2:5" x14ac:dyDescent="0.2">
      <c r="B112" s="14" t="s">
        <v>18</v>
      </c>
      <c r="C112" s="12"/>
      <c r="D112" s="12"/>
      <c r="E112" s="13"/>
    </row>
    <row r="113" spans="2:5" x14ac:dyDescent="0.2">
      <c r="B113" s="15"/>
      <c r="C113" s="190" t="s">
        <v>24</v>
      </c>
      <c r="D113" s="190"/>
      <c r="E113" s="190"/>
    </row>
    <row r="114" spans="2:5" x14ac:dyDescent="0.2">
      <c r="B114" s="14" t="s">
        <v>19</v>
      </c>
      <c r="C114" s="16"/>
      <c r="D114" s="16"/>
      <c r="E114" s="17"/>
    </row>
    <row r="115" spans="2:5" x14ac:dyDescent="0.2">
      <c r="B115" s="15"/>
      <c r="C115" s="190" t="s">
        <v>101</v>
      </c>
      <c r="D115" s="190"/>
      <c r="E115" s="190"/>
    </row>
    <row r="116" spans="2:5" x14ac:dyDescent="0.2">
      <c r="B116" s="14" t="s">
        <v>20</v>
      </c>
      <c r="C116" s="12"/>
      <c r="D116" s="12"/>
      <c r="E116" s="13"/>
    </row>
    <row r="117" spans="2:5" x14ac:dyDescent="0.2">
      <c r="B117" s="14"/>
      <c r="C117" s="189" t="s">
        <v>25</v>
      </c>
      <c r="D117" s="189"/>
      <c r="E117" s="189"/>
    </row>
    <row r="118" spans="2:5" ht="13.5" thickBot="1" x14ac:dyDescent="0.25">
      <c r="B118" s="18"/>
      <c r="C118" s="19"/>
      <c r="D118" s="19"/>
      <c r="E118" s="20"/>
    </row>
  </sheetData>
  <mergeCells count="85">
    <mergeCell ref="B107:C107"/>
    <mergeCell ref="B108:C108"/>
    <mergeCell ref="B109:C109"/>
    <mergeCell ref="B110:C110"/>
    <mergeCell ref="B102:C102"/>
    <mergeCell ref="B103:C103"/>
    <mergeCell ref="B104:C104"/>
    <mergeCell ref="B105:C105"/>
    <mergeCell ref="B106:C106"/>
    <mergeCell ref="B73:C73"/>
    <mergeCell ref="B74:C74"/>
    <mergeCell ref="B75:C75"/>
    <mergeCell ref="B90:E90"/>
    <mergeCell ref="B91:C91"/>
    <mergeCell ref="C80:E80"/>
    <mergeCell ref="C78:E78"/>
    <mergeCell ref="B76:C76"/>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40:C40"/>
    <mergeCell ref="B55:E55"/>
    <mergeCell ref="B56:C56"/>
    <mergeCell ref="B57:C57"/>
    <mergeCell ref="C53:E53"/>
    <mergeCell ref="B35:C35"/>
    <mergeCell ref="B36:C36"/>
    <mergeCell ref="B37:C37"/>
    <mergeCell ref="B38:C38"/>
    <mergeCell ref="B39:C39"/>
    <mergeCell ref="B30:C30"/>
    <mergeCell ref="B31:C31"/>
    <mergeCell ref="B32:C32"/>
    <mergeCell ref="B33:C33"/>
    <mergeCell ref="B34:C34"/>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A6:B6"/>
    <mergeCell ref="B2:H2"/>
    <mergeCell ref="A4:B4"/>
    <mergeCell ref="C4:E4"/>
    <mergeCell ref="A5:B5"/>
    <mergeCell ref="C5:E5"/>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2" customWidth="1"/>
    <col min="2" max="2" width="15.5703125" style="2" customWidth="1"/>
    <col min="3" max="3" width="32.42578125" style="2" customWidth="1"/>
    <col min="4" max="4" width="10" style="55" customWidth="1"/>
    <col min="5" max="5" width="168.28515625" style="2" customWidth="1"/>
    <col min="6" max="6" width="11" style="2"/>
    <col min="7" max="7" width="12.7109375" style="2" customWidth="1"/>
    <col min="8" max="8" width="13.85546875" style="2" customWidth="1"/>
    <col min="9" max="9" width="18.5703125" style="2" customWidth="1"/>
    <col min="10" max="16384" width="11" style="2"/>
  </cols>
  <sheetData>
    <row r="1" spans="1:9" ht="27" x14ac:dyDescent="0.35">
      <c r="B1" s="185" t="s">
        <v>0</v>
      </c>
      <c r="C1" s="185"/>
      <c r="D1" s="185"/>
      <c r="E1" s="185"/>
      <c r="F1" s="185"/>
      <c r="G1" s="185"/>
      <c r="H1" s="185"/>
    </row>
    <row r="2" spans="1:9" ht="6" customHeight="1" x14ac:dyDescent="0.2"/>
    <row r="3" spans="1:9" ht="16.5" customHeight="1" x14ac:dyDescent="0.25">
      <c r="A3" s="182" t="s">
        <v>1</v>
      </c>
      <c r="B3" s="182"/>
      <c r="C3" s="186" t="s">
        <v>27</v>
      </c>
      <c r="D3" s="186"/>
      <c r="E3" s="186"/>
      <c r="F3" s="3"/>
      <c r="G3" s="4"/>
      <c r="H3" s="3"/>
    </row>
    <row r="4" spans="1:9" ht="17.25" customHeight="1" x14ac:dyDescent="0.25">
      <c r="A4" s="182" t="s">
        <v>2</v>
      </c>
      <c r="B4" s="182"/>
      <c r="C4" s="186" t="s">
        <v>23</v>
      </c>
      <c r="D4" s="186"/>
      <c r="E4" s="186"/>
      <c r="F4" s="3"/>
      <c r="G4" s="4"/>
      <c r="H4" s="3"/>
    </row>
    <row r="5" spans="1:9" ht="15" customHeight="1" x14ac:dyDescent="0.25">
      <c r="A5" s="182" t="s">
        <v>3</v>
      </c>
      <c r="B5" s="182"/>
      <c r="C5" s="21">
        <v>2020</v>
      </c>
      <c r="D5" s="51"/>
      <c r="E5" s="22"/>
      <c r="F5" s="3"/>
      <c r="G5" s="4"/>
      <c r="H5" s="3"/>
    </row>
    <row r="6" spans="1:9" ht="16.5" customHeight="1" x14ac:dyDescent="0.25">
      <c r="A6" s="182" t="s">
        <v>4</v>
      </c>
      <c r="B6" s="182"/>
      <c r="C6" s="21">
        <v>3</v>
      </c>
      <c r="D6" s="51"/>
      <c r="E6" s="22"/>
      <c r="F6" s="3"/>
      <c r="G6" s="4"/>
      <c r="H6" s="3"/>
    </row>
    <row r="7" spans="1:9" ht="7.5" customHeight="1" thickBot="1" x14ac:dyDescent="0.25">
      <c r="B7" s="3"/>
      <c r="C7" s="4"/>
      <c r="D7" s="4"/>
      <c r="E7" s="3"/>
      <c r="F7" s="3"/>
      <c r="G7" s="4"/>
      <c r="H7" s="3"/>
    </row>
    <row r="8" spans="1:9" ht="39" thickBot="1" x14ac:dyDescent="0.25">
      <c r="A8" s="24" t="s">
        <v>5</v>
      </c>
      <c r="B8" s="33" t="s">
        <v>6</v>
      </c>
      <c r="C8" s="33" t="s">
        <v>7</v>
      </c>
      <c r="D8" s="29" t="s">
        <v>8</v>
      </c>
      <c r="E8" s="33" t="s">
        <v>9</v>
      </c>
      <c r="F8" s="25" t="s">
        <v>10</v>
      </c>
      <c r="G8" s="26" t="s">
        <v>11</v>
      </c>
      <c r="H8" s="26" t="s">
        <v>12</v>
      </c>
      <c r="I8" s="27" t="s">
        <v>13</v>
      </c>
    </row>
    <row r="9" spans="1:9" ht="15.75" customHeight="1" x14ac:dyDescent="0.2">
      <c r="A9" s="56">
        <v>1</v>
      </c>
      <c r="B9" s="57" t="s">
        <v>28</v>
      </c>
      <c r="C9" s="57" t="s">
        <v>22</v>
      </c>
      <c r="D9" s="58" t="str">
        <f>LEFT(B9,5)</f>
        <v>2.1.1</v>
      </c>
      <c r="E9" s="57" t="s">
        <v>36</v>
      </c>
      <c r="F9" s="59" t="s">
        <v>77</v>
      </c>
      <c r="G9" s="60">
        <v>7164</v>
      </c>
      <c r="H9" s="61"/>
      <c r="I9" s="62"/>
    </row>
    <row r="10" spans="1:9" x14ac:dyDescent="0.2">
      <c r="A10" s="63">
        <v>2</v>
      </c>
      <c r="B10" s="64" t="s">
        <v>29</v>
      </c>
      <c r="C10" s="64" t="s">
        <v>22</v>
      </c>
      <c r="D10" s="65" t="s">
        <v>35</v>
      </c>
      <c r="E10" s="64" t="s">
        <v>37</v>
      </c>
      <c r="F10" s="66" t="s">
        <v>77</v>
      </c>
      <c r="G10" s="67">
        <v>5232</v>
      </c>
      <c r="H10" s="68"/>
      <c r="I10" s="69"/>
    </row>
    <row r="11" spans="1:9" x14ac:dyDescent="0.2">
      <c r="A11" s="63">
        <v>3</v>
      </c>
      <c r="B11" s="70" t="s">
        <v>239</v>
      </c>
      <c r="C11" s="70" t="s">
        <v>22</v>
      </c>
      <c r="D11" s="71" t="s">
        <v>35</v>
      </c>
      <c r="E11" s="70" t="s">
        <v>238</v>
      </c>
      <c r="F11" s="72" t="s">
        <v>77</v>
      </c>
      <c r="G11" s="67">
        <v>9504</v>
      </c>
      <c r="H11" s="68"/>
      <c r="I11" s="69"/>
    </row>
    <row r="12" spans="1:9" x14ac:dyDescent="0.2">
      <c r="A12" s="63">
        <v>4</v>
      </c>
      <c r="B12" s="70" t="s">
        <v>241</v>
      </c>
      <c r="C12" s="70" t="s">
        <v>22</v>
      </c>
      <c r="D12" s="73" t="str">
        <f>LEFT(B12,5)</f>
        <v>2.1.1</v>
      </c>
      <c r="E12" s="70" t="s">
        <v>240</v>
      </c>
      <c r="F12" s="72" t="s">
        <v>77</v>
      </c>
      <c r="G12" s="67">
        <v>9504</v>
      </c>
      <c r="H12" s="68"/>
      <c r="I12" s="69"/>
    </row>
    <row r="13" spans="1:9" x14ac:dyDescent="0.2">
      <c r="A13" s="63">
        <v>5</v>
      </c>
      <c r="B13" s="64" t="s">
        <v>30</v>
      </c>
      <c r="C13" s="64" t="s">
        <v>22</v>
      </c>
      <c r="D13" s="65" t="s">
        <v>35</v>
      </c>
      <c r="E13" s="64" t="s">
        <v>38</v>
      </c>
      <c r="F13" s="66" t="s">
        <v>77</v>
      </c>
      <c r="G13" s="67">
        <v>4284</v>
      </c>
      <c r="H13" s="68"/>
      <c r="I13" s="69"/>
    </row>
    <row r="14" spans="1:9" x14ac:dyDescent="0.2">
      <c r="A14" s="63">
        <v>6</v>
      </c>
      <c r="B14" s="64" t="s">
        <v>31</v>
      </c>
      <c r="C14" s="64" t="s">
        <v>22</v>
      </c>
      <c r="D14" s="65" t="s">
        <v>35</v>
      </c>
      <c r="E14" s="64" t="s">
        <v>39</v>
      </c>
      <c r="F14" s="66" t="s">
        <v>77</v>
      </c>
      <c r="G14" s="67">
        <v>12828</v>
      </c>
      <c r="H14" s="68"/>
      <c r="I14" s="69"/>
    </row>
    <row r="15" spans="1:9" x14ac:dyDescent="0.2">
      <c r="A15" s="63">
        <v>7</v>
      </c>
      <c r="B15" s="64" t="s">
        <v>32</v>
      </c>
      <c r="C15" s="64" t="s">
        <v>22</v>
      </c>
      <c r="D15" s="65" t="str">
        <f t="shared" ref="D15:D34" si="0">LEFT(B15,5)</f>
        <v>2.1.1</v>
      </c>
      <c r="E15" s="64" t="s">
        <v>40</v>
      </c>
      <c r="F15" s="66" t="s">
        <v>77</v>
      </c>
      <c r="G15" s="67">
        <v>8544</v>
      </c>
      <c r="H15" s="68"/>
      <c r="I15" s="69"/>
    </row>
    <row r="16" spans="1:9" x14ac:dyDescent="0.2">
      <c r="A16" s="63">
        <v>8</v>
      </c>
      <c r="B16" s="70" t="s">
        <v>236</v>
      </c>
      <c r="C16" s="64" t="s">
        <v>22</v>
      </c>
      <c r="D16" s="65" t="s">
        <v>35</v>
      </c>
      <c r="E16" s="64" t="s">
        <v>237</v>
      </c>
      <c r="F16" s="66" t="s">
        <v>77</v>
      </c>
      <c r="G16" s="67">
        <v>2412</v>
      </c>
      <c r="H16" s="68"/>
      <c r="I16" s="69"/>
    </row>
    <row r="17" spans="1:9" x14ac:dyDescent="0.2">
      <c r="A17" s="63">
        <v>9</v>
      </c>
      <c r="B17" s="64" t="s">
        <v>33</v>
      </c>
      <c r="C17" s="64" t="s">
        <v>22</v>
      </c>
      <c r="D17" s="65" t="str">
        <f t="shared" si="0"/>
        <v>2.1.1</v>
      </c>
      <c r="E17" s="64" t="s">
        <v>41</v>
      </c>
      <c r="F17" s="66" t="s">
        <v>78</v>
      </c>
      <c r="G17" s="67">
        <v>13296</v>
      </c>
      <c r="H17" s="68"/>
      <c r="I17" s="69"/>
    </row>
    <row r="18" spans="1:9" x14ac:dyDescent="0.2">
      <c r="A18" s="63">
        <v>10</v>
      </c>
      <c r="B18" s="64" t="s">
        <v>34</v>
      </c>
      <c r="C18" s="64" t="s">
        <v>22</v>
      </c>
      <c r="D18" s="65" t="str">
        <f t="shared" si="0"/>
        <v>2.1.1</v>
      </c>
      <c r="E18" s="64" t="s">
        <v>42</v>
      </c>
      <c r="F18" s="66" t="s">
        <v>78</v>
      </c>
      <c r="G18" s="67">
        <v>16668</v>
      </c>
      <c r="H18" s="68"/>
      <c r="I18" s="69"/>
    </row>
    <row r="19" spans="1:9" x14ac:dyDescent="0.2">
      <c r="A19" s="63">
        <v>11</v>
      </c>
      <c r="B19" s="64" t="s">
        <v>43</v>
      </c>
      <c r="C19" s="64" t="s">
        <v>22</v>
      </c>
      <c r="D19" s="65" t="str">
        <f t="shared" si="0"/>
        <v>2.1.1</v>
      </c>
      <c r="E19" s="64" t="s">
        <v>50</v>
      </c>
      <c r="F19" s="74" t="s">
        <v>78</v>
      </c>
      <c r="G19" s="75">
        <v>10464</v>
      </c>
      <c r="H19" s="68"/>
      <c r="I19" s="69"/>
    </row>
    <row r="20" spans="1:9" x14ac:dyDescent="0.2">
      <c r="A20" s="63">
        <v>12</v>
      </c>
      <c r="B20" s="64" t="s">
        <v>44</v>
      </c>
      <c r="C20" s="64" t="s">
        <v>22</v>
      </c>
      <c r="D20" s="65" t="s">
        <v>35</v>
      </c>
      <c r="E20" s="64" t="s">
        <v>51</v>
      </c>
      <c r="F20" s="66" t="s">
        <v>14</v>
      </c>
      <c r="G20" s="67">
        <v>14256</v>
      </c>
      <c r="H20" s="68"/>
      <c r="I20" s="69"/>
    </row>
    <row r="21" spans="1:9" x14ac:dyDescent="0.2">
      <c r="A21" s="63">
        <v>13</v>
      </c>
      <c r="B21" s="64" t="s">
        <v>45</v>
      </c>
      <c r="C21" s="64" t="s">
        <v>22</v>
      </c>
      <c r="D21" s="65" t="str">
        <f>LEFT(B21,5)</f>
        <v>2.1.1</v>
      </c>
      <c r="E21" s="64" t="s">
        <v>52</v>
      </c>
      <c r="F21" s="66" t="s">
        <v>14</v>
      </c>
      <c r="G21" s="67">
        <v>1440</v>
      </c>
      <c r="H21" s="68"/>
      <c r="I21" s="69"/>
    </row>
    <row r="22" spans="1:9" x14ac:dyDescent="0.2">
      <c r="A22" s="63">
        <v>14</v>
      </c>
      <c r="B22" s="76" t="s">
        <v>73</v>
      </c>
      <c r="C22" s="76" t="s">
        <v>22</v>
      </c>
      <c r="D22" s="65" t="str">
        <f t="shared" si="0"/>
        <v>2.1.1</v>
      </c>
      <c r="E22" s="76" t="s">
        <v>74</v>
      </c>
      <c r="F22" s="66" t="s">
        <v>78</v>
      </c>
      <c r="G22" s="67">
        <v>4752</v>
      </c>
      <c r="H22" s="68"/>
      <c r="I22" s="69"/>
    </row>
    <row r="23" spans="1:9" x14ac:dyDescent="0.2">
      <c r="A23" s="63">
        <v>15</v>
      </c>
      <c r="B23" s="64" t="s">
        <v>46</v>
      </c>
      <c r="C23" s="64" t="s">
        <v>22</v>
      </c>
      <c r="D23" s="65" t="s">
        <v>35</v>
      </c>
      <c r="E23" s="64" t="s">
        <v>53</v>
      </c>
      <c r="F23" s="66" t="s">
        <v>14</v>
      </c>
      <c r="G23" s="67">
        <v>2856</v>
      </c>
      <c r="H23" s="68"/>
      <c r="I23" s="69"/>
    </row>
    <row r="24" spans="1:9" x14ac:dyDescent="0.2">
      <c r="A24" s="63">
        <v>16</v>
      </c>
      <c r="B24" s="64" t="s">
        <v>47</v>
      </c>
      <c r="C24" s="64" t="s">
        <v>22</v>
      </c>
      <c r="D24" s="65" t="str">
        <f>LEFT(B24,5)</f>
        <v>2.1.1</v>
      </c>
      <c r="E24" s="64" t="s">
        <v>54</v>
      </c>
      <c r="F24" s="66" t="s">
        <v>78</v>
      </c>
      <c r="G24" s="67">
        <v>9504</v>
      </c>
      <c r="H24" s="68"/>
      <c r="I24" s="69"/>
    </row>
    <row r="25" spans="1:9" x14ac:dyDescent="0.2">
      <c r="A25" s="63">
        <v>17</v>
      </c>
      <c r="B25" s="64" t="s">
        <v>48</v>
      </c>
      <c r="C25" s="64" t="s">
        <v>22</v>
      </c>
      <c r="D25" s="65" t="str">
        <f t="shared" si="0"/>
        <v>2.1.1</v>
      </c>
      <c r="E25" s="64" t="s">
        <v>55</v>
      </c>
      <c r="F25" s="66" t="s">
        <v>78</v>
      </c>
      <c r="G25" s="67">
        <v>4752</v>
      </c>
      <c r="H25" s="68"/>
      <c r="I25" s="69"/>
    </row>
    <row r="26" spans="1:9" x14ac:dyDescent="0.2">
      <c r="A26" s="63">
        <v>18</v>
      </c>
      <c r="B26" s="64" t="s">
        <v>49</v>
      </c>
      <c r="C26" s="64" t="s">
        <v>22</v>
      </c>
      <c r="D26" s="65" t="str">
        <f t="shared" si="0"/>
        <v>2.1.1</v>
      </c>
      <c r="E26" s="64" t="s">
        <v>56</v>
      </c>
      <c r="F26" s="66" t="s">
        <v>78</v>
      </c>
      <c r="G26" s="67">
        <v>8544</v>
      </c>
      <c r="H26" s="68"/>
      <c r="I26" s="69"/>
    </row>
    <row r="27" spans="1:9" x14ac:dyDescent="0.2">
      <c r="A27" s="63">
        <v>19</v>
      </c>
      <c r="B27" s="64" t="s">
        <v>80</v>
      </c>
      <c r="C27" s="64" t="s">
        <v>22</v>
      </c>
      <c r="D27" s="65" t="str">
        <f t="shared" si="0"/>
        <v>2.1.1</v>
      </c>
      <c r="E27" s="64" t="s">
        <v>81</v>
      </c>
      <c r="F27" s="66" t="s">
        <v>78</v>
      </c>
      <c r="G27" s="67">
        <v>7164</v>
      </c>
      <c r="H27" s="68"/>
      <c r="I27" s="69"/>
    </row>
    <row r="28" spans="1:9" x14ac:dyDescent="0.2">
      <c r="A28" s="63">
        <v>20</v>
      </c>
      <c r="B28" s="64" t="s">
        <v>75</v>
      </c>
      <c r="C28" s="64" t="s">
        <v>22</v>
      </c>
      <c r="D28" s="65" t="s">
        <v>35</v>
      </c>
      <c r="E28" s="64" t="s">
        <v>76</v>
      </c>
      <c r="F28" s="66" t="s">
        <v>78</v>
      </c>
      <c r="G28" s="67">
        <v>19008</v>
      </c>
      <c r="H28" s="68"/>
      <c r="I28" s="69"/>
    </row>
    <row r="29" spans="1:9" x14ac:dyDescent="0.2">
      <c r="A29" s="63">
        <v>21</v>
      </c>
      <c r="B29" s="64" t="s">
        <v>57</v>
      </c>
      <c r="C29" s="64" t="s">
        <v>22</v>
      </c>
      <c r="D29" s="65" t="s">
        <v>35</v>
      </c>
      <c r="E29" s="64" t="s">
        <v>62</v>
      </c>
      <c r="F29" s="66" t="s">
        <v>78</v>
      </c>
      <c r="G29" s="77">
        <v>120</v>
      </c>
      <c r="H29" s="68"/>
      <c r="I29" s="69"/>
    </row>
    <row r="30" spans="1:9" x14ac:dyDescent="0.2">
      <c r="A30" s="63">
        <v>22</v>
      </c>
      <c r="B30" s="64" t="s">
        <v>58</v>
      </c>
      <c r="C30" s="64" t="s">
        <v>22</v>
      </c>
      <c r="D30" s="65" t="str">
        <f t="shared" si="0"/>
        <v>2.1.1</v>
      </c>
      <c r="E30" s="64" t="s">
        <v>63</v>
      </c>
      <c r="F30" s="66" t="s">
        <v>78</v>
      </c>
      <c r="G30" s="67">
        <v>120</v>
      </c>
      <c r="H30" s="68"/>
      <c r="I30" s="69"/>
    </row>
    <row r="31" spans="1:9" x14ac:dyDescent="0.2">
      <c r="A31" s="63">
        <v>23</v>
      </c>
      <c r="B31" s="64" t="s">
        <v>59</v>
      </c>
      <c r="C31" s="64" t="s">
        <v>22</v>
      </c>
      <c r="D31" s="65" t="s">
        <v>35</v>
      </c>
      <c r="E31" s="64" t="s">
        <v>64</v>
      </c>
      <c r="F31" s="66" t="s">
        <v>78</v>
      </c>
      <c r="G31" s="67">
        <v>120</v>
      </c>
      <c r="H31" s="68"/>
      <c r="I31" s="69"/>
    </row>
    <row r="32" spans="1:9" x14ac:dyDescent="0.2">
      <c r="A32" s="63">
        <v>24</v>
      </c>
      <c r="B32" s="64" t="s">
        <v>60</v>
      </c>
      <c r="C32" s="64" t="s">
        <v>22</v>
      </c>
      <c r="D32" s="65" t="s">
        <v>35</v>
      </c>
      <c r="E32" s="64" t="s">
        <v>65</v>
      </c>
      <c r="F32" s="66" t="s">
        <v>78</v>
      </c>
      <c r="G32" s="67">
        <v>120</v>
      </c>
      <c r="H32" s="68"/>
      <c r="I32" s="69"/>
    </row>
    <row r="33" spans="1:9" x14ac:dyDescent="0.2">
      <c r="A33" s="63">
        <v>25</v>
      </c>
      <c r="B33" s="70" t="s">
        <v>243</v>
      </c>
      <c r="C33" s="70" t="s">
        <v>22</v>
      </c>
      <c r="D33" s="73" t="str">
        <f>LEFT(B33,5)</f>
        <v>2.1.1</v>
      </c>
      <c r="E33" s="70" t="s">
        <v>242</v>
      </c>
      <c r="F33" s="72" t="s">
        <v>14</v>
      </c>
      <c r="G33" s="67">
        <v>492</v>
      </c>
      <c r="H33" s="68"/>
      <c r="I33" s="69"/>
    </row>
    <row r="34" spans="1:9" x14ac:dyDescent="0.2">
      <c r="A34" s="63">
        <v>26</v>
      </c>
      <c r="B34" s="64" t="s">
        <v>61</v>
      </c>
      <c r="C34" s="64" t="s">
        <v>22</v>
      </c>
      <c r="D34" s="65" t="str">
        <f t="shared" si="0"/>
        <v>2.1.1</v>
      </c>
      <c r="E34" s="64" t="s">
        <v>66</v>
      </c>
      <c r="F34" s="66" t="s">
        <v>78</v>
      </c>
      <c r="G34" s="67">
        <v>270</v>
      </c>
      <c r="H34" s="78"/>
      <c r="I34" s="79"/>
    </row>
    <row r="35" spans="1:9" x14ac:dyDescent="0.2">
      <c r="A35" s="63">
        <v>27</v>
      </c>
      <c r="B35" s="64" t="s">
        <v>90</v>
      </c>
      <c r="C35" s="64" t="s">
        <v>22</v>
      </c>
      <c r="D35" s="65" t="s">
        <v>35</v>
      </c>
      <c r="E35" s="64" t="s">
        <v>94</v>
      </c>
      <c r="F35" s="80" t="s">
        <v>14</v>
      </c>
      <c r="G35" s="81">
        <v>23760</v>
      </c>
      <c r="H35" s="68"/>
      <c r="I35" s="69"/>
    </row>
    <row r="36" spans="1:9" x14ac:dyDescent="0.2">
      <c r="A36" s="63">
        <v>28</v>
      </c>
      <c r="B36" s="64" t="s">
        <v>91</v>
      </c>
      <c r="C36" s="64" t="s">
        <v>22</v>
      </c>
      <c r="D36" s="65" t="s">
        <v>35</v>
      </c>
      <c r="E36" s="64" t="s">
        <v>95</v>
      </c>
      <c r="F36" s="80" t="s">
        <v>14</v>
      </c>
      <c r="G36" s="81">
        <v>23760</v>
      </c>
      <c r="H36" s="68"/>
      <c r="I36" s="69"/>
    </row>
    <row r="37" spans="1:9" x14ac:dyDescent="0.2">
      <c r="A37" s="63">
        <v>29</v>
      </c>
      <c r="B37" s="64" t="s">
        <v>92</v>
      </c>
      <c r="C37" s="64" t="s">
        <v>22</v>
      </c>
      <c r="D37" s="65" t="str">
        <f>LEFT(B37,5)</f>
        <v>2.1.1</v>
      </c>
      <c r="E37" s="64" t="s">
        <v>96</v>
      </c>
      <c r="F37" s="80" t="s">
        <v>14</v>
      </c>
      <c r="G37" s="81">
        <v>23760</v>
      </c>
      <c r="H37" s="68"/>
      <c r="I37" s="69"/>
    </row>
    <row r="38" spans="1:9" ht="13.5" thickBot="1" x14ac:dyDescent="0.25">
      <c r="A38" s="82">
        <v>30</v>
      </c>
      <c r="B38" s="83" t="s">
        <v>93</v>
      </c>
      <c r="C38" s="83" t="s">
        <v>22</v>
      </c>
      <c r="D38" s="84" t="str">
        <f>LEFT(B38,5)</f>
        <v>2.1.1</v>
      </c>
      <c r="E38" s="83" t="s">
        <v>97</v>
      </c>
      <c r="F38" s="85" t="s">
        <v>14</v>
      </c>
      <c r="G38" s="86">
        <v>23760</v>
      </c>
      <c r="H38" s="87"/>
      <c r="I38" s="88"/>
    </row>
    <row r="41" spans="1:9" x14ac:dyDescent="0.2">
      <c r="B41" s="8" t="s">
        <v>15</v>
      </c>
      <c r="C41" s="9"/>
      <c r="D41" s="52"/>
      <c r="E41" s="10"/>
    </row>
    <row r="42" spans="1:9" ht="5.25" customHeight="1" x14ac:dyDescent="0.2">
      <c r="B42" s="11"/>
      <c r="C42" s="12"/>
      <c r="D42" s="53"/>
      <c r="E42" s="13"/>
    </row>
    <row r="43" spans="1:9" x14ac:dyDescent="0.2">
      <c r="B43" s="14" t="s">
        <v>16</v>
      </c>
      <c r="C43" s="12"/>
      <c r="D43" s="53"/>
      <c r="E43" s="13"/>
    </row>
    <row r="44" spans="1:9" ht="25.5" customHeight="1" x14ac:dyDescent="0.2">
      <c r="B44" s="14"/>
      <c r="C44" s="190"/>
      <c r="D44" s="190"/>
      <c r="E44" s="190"/>
    </row>
    <row r="45" spans="1:9" ht="13.5" thickBot="1" x14ac:dyDescent="0.25">
      <c r="B45" s="14" t="s">
        <v>17</v>
      </c>
      <c r="C45" s="12"/>
      <c r="D45" s="53"/>
      <c r="E45" s="13"/>
    </row>
    <row r="46" spans="1:9" ht="13.5" thickBot="1" x14ac:dyDescent="0.25">
      <c r="B46" s="176" t="s">
        <v>98</v>
      </c>
      <c r="C46" s="177"/>
      <c r="D46" s="177"/>
      <c r="E46" s="178"/>
    </row>
    <row r="47" spans="1:9" ht="13.5" thickBot="1" x14ac:dyDescent="0.25">
      <c r="B47" s="176" t="s">
        <v>99</v>
      </c>
      <c r="C47" s="178"/>
      <c r="D47" s="50" t="s">
        <v>11</v>
      </c>
      <c r="E47" s="50" t="s">
        <v>100</v>
      </c>
    </row>
    <row r="48" spans="1:9" x14ac:dyDescent="0.2">
      <c r="B48" s="183" t="str">
        <f>'[1]COMEDORES EMERGENTES'!$B$3</f>
        <v>UNA SONRISA AV. LOS COBACHO</v>
      </c>
      <c r="C48" s="184"/>
      <c r="D48" s="94" t="s">
        <v>129</v>
      </c>
      <c r="E48" s="95" t="str">
        <f>'[1]COMEDORES EMERGENTES'!$G$3</f>
        <v>Bº SAN CARLOS OESTE AV. Bonifacio cobacho 670</v>
      </c>
    </row>
    <row r="49" spans="2:5" x14ac:dyDescent="0.2">
      <c r="B49" s="174" t="str">
        <f>'[1]COMEDORES EMERGENTES'!$B$4</f>
        <v>C.I.F Nº1 - RIVERA DEL VALLE Y FLORIDA</v>
      </c>
      <c r="C49" s="175"/>
      <c r="D49" s="89" t="s">
        <v>131</v>
      </c>
      <c r="E49" s="90" t="str">
        <f>'[1]COMEDORES EMERGENTES'!$G$4</f>
        <v>AV. RIVIERA DEL VALLE ENTRE FLORIDA Y SANTA FE</v>
      </c>
    </row>
    <row r="50" spans="2:5" x14ac:dyDescent="0.2">
      <c r="B50" s="174" t="str">
        <f>'[1]COMEDORES EMERGENTES'!$B$5</f>
        <v>C.I.F - RIVERA DEL VALLE - DILORENZO</v>
      </c>
      <c r="C50" s="175"/>
      <c r="D50" s="89" t="s">
        <v>132</v>
      </c>
      <c r="E50" s="90" t="str">
        <f>'[1]COMEDORES EMERGENTES'!$G$5</f>
        <v>Bº RIVERA DEL VALLE ENTRE VILLA EUMELIA Y MONTE CRISTO</v>
      </c>
    </row>
    <row r="51" spans="2:5" x14ac:dyDescent="0.2">
      <c r="B51" s="174" t="str">
        <f>'[1]COMEDORES EMERGENTES'!$B$6</f>
        <v>ESFUERZO PROPIO- Bº ALTOS DE CHOYA</v>
      </c>
      <c r="C51" s="175"/>
      <c r="D51" s="89" t="s">
        <v>133</v>
      </c>
      <c r="E51" s="90" t="str">
        <f>'[1]COMEDORES EMERGENTES'!$G$6</f>
        <v>Bº MUNICIPAL 35VV. NORTE C/14</v>
      </c>
    </row>
    <row r="52" spans="2:5" x14ac:dyDescent="0.2">
      <c r="B52" s="174" t="str">
        <f>'[1]COMEDORES EMERGENTES'!$B$7</f>
        <v>ANGELITOS - LOTEO SUSSEX</v>
      </c>
      <c r="C52" s="175"/>
      <c r="D52" s="89" t="s">
        <v>134</v>
      </c>
      <c r="E52" s="90" t="str">
        <f>'[1]COMEDORES EMERGENTES'!$G$7</f>
        <v>Bº LOTEO SUSEX MZA.Nº 4 LOTE Nº3</v>
      </c>
    </row>
    <row r="53" spans="2:5" x14ac:dyDescent="0.2">
      <c r="B53" s="174" t="str">
        <f>'[1]COMEDORES EMERGENTES'!$B$8</f>
        <v>CLUB DEPORTIVO CHACARITA</v>
      </c>
      <c r="C53" s="175"/>
      <c r="D53" s="89" t="s">
        <v>135</v>
      </c>
      <c r="E53" s="90" t="str">
        <f>'[1]COMEDORES EMERGENTES'!$G$8</f>
        <v>CALLE DR.DERMIDIO GALINDEZ C/2660</v>
      </c>
    </row>
    <row r="54" spans="2:5" x14ac:dyDescent="0.2">
      <c r="B54" s="174" t="str">
        <f>'[1]COMEDORES EMERGENTES'!$B$9</f>
        <v>LA MORO</v>
      </c>
      <c r="C54" s="175"/>
      <c r="D54" s="89" t="s">
        <v>130</v>
      </c>
      <c r="E54" s="90" t="str">
        <f>'[1]COMEDORES EMERGENTES'!$G$9</f>
        <v>MAIPU NORTE 1º ETAPA MZA "H" Bº MI JARDIN</v>
      </c>
    </row>
    <row r="55" spans="2:5" x14ac:dyDescent="0.2">
      <c r="B55" s="174" t="str">
        <f>'[1]COMEDORES EMERGENTES'!$B$10</f>
        <v>PAPA FRANCISCO</v>
      </c>
      <c r="C55" s="175"/>
      <c r="D55" s="89" t="s">
        <v>136</v>
      </c>
      <c r="E55" s="90" t="str">
        <f>'[1]COMEDORES EMERGENTES'!$G$10</f>
        <v>ENTRE AV.TEREBINTO Y AV.SAN JUAN LOTE "2" MZA. "B"</v>
      </c>
    </row>
    <row r="56" spans="2:5" x14ac:dyDescent="0.2">
      <c r="B56" s="174" t="str">
        <f>'[1]COMEDORES EMERGENTES'!$B$11</f>
        <v>E.P.C - 100 V.V NORTE</v>
      </c>
      <c r="C56" s="175"/>
      <c r="D56" s="89" t="s">
        <v>137</v>
      </c>
      <c r="E56" s="90" t="str">
        <f>'[1]COMEDORES EMERGENTES'!$G$11</f>
        <v>Bº VV NORTE C/48 ENTRE ESPAÑA Y FRANCIA</v>
      </c>
    </row>
    <row r="57" spans="2:5" x14ac:dyDescent="0.2">
      <c r="B57" s="174" t="str">
        <f>'[1]COMEDORES EMERGENTES'!$B$12</f>
        <v>HOGAR DE CRISTO - PADRE RAUL CONTRERAS</v>
      </c>
      <c r="C57" s="175"/>
      <c r="D57" s="89" t="s">
        <v>137</v>
      </c>
      <c r="E57" s="90" t="str">
        <f>'[1]COMEDORES EMERGENTES'!$G$12</f>
        <v>Bº SANTA MARTA MZA. "S" LOTE "M" C/39</v>
      </c>
    </row>
    <row r="58" spans="2:5" x14ac:dyDescent="0.2">
      <c r="B58" s="174" t="str">
        <f>'[1]COMEDORES EMERGENTES'!$B$13</f>
        <v>LA LUCIERNAGA</v>
      </c>
      <c r="C58" s="175"/>
      <c r="D58" s="89" t="s">
        <v>136</v>
      </c>
      <c r="E58" s="90" t="str">
        <f>'[1]COMEDORES EMERGENTES'!$G$13</f>
        <v>Bº 20 V.V NORTE C/3</v>
      </c>
    </row>
    <row r="59" spans="2:5" x14ac:dyDescent="0.2">
      <c r="B59" s="174" t="str">
        <f>'[1]COMEDORES EMERGENTES'!$B$14</f>
        <v>VALLE VIEJO - SUMALAO</v>
      </c>
      <c r="C59" s="175"/>
      <c r="D59" s="89" t="s">
        <v>138</v>
      </c>
      <c r="E59" s="90" t="str">
        <f>'[1]COMEDORES EMERGENTES'!$G$14</f>
        <v>PADRE SEGURA S/N</v>
      </c>
    </row>
    <row r="60" spans="2:5" x14ac:dyDescent="0.2">
      <c r="B60" s="174" t="str">
        <f>'[1]COMEDORES EMERGENTES'!$B$15</f>
        <v>NUESTRO FUTURO - LAS VIAS</v>
      </c>
      <c r="C60" s="175"/>
      <c r="D60" s="89" t="s">
        <v>136</v>
      </c>
      <c r="E60" s="90" t="str">
        <f>'[1]COMEDORES EMERGENTES'!$G$15</f>
        <v>Bº LAS VIAS OESTE LOTE 42</v>
      </c>
    </row>
    <row r="61" spans="2:5" x14ac:dyDescent="0.2">
      <c r="B61" s="174" t="str">
        <f>'[1]COMEDORES EMERGENTES'!$B$16</f>
        <v>SAN JOSE OBRERO</v>
      </c>
      <c r="C61" s="175"/>
      <c r="D61" s="89" t="s">
        <v>135</v>
      </c>
      <c r="E61" s="90" t="str">
        <f>'[1]COMEDORES EMERGENTES'!$G$16</f>
        <v>Bº SAN JOSE OBRERO. PJE. SANDOVAL S/Nº</v>
      </c>
    </row>
    <row r="62" spans="2:5" x14ac:dyDescent="0.2">
      <c r="B62" s="174" t="str">
        <f>'[1]COMEDORES EMERGENTES'!$B$17</f>
        <v>VIRGEN DE LUJAN</v>
      </c>
      <c r="C62" s="175"/>
      <c r="D62" s="89" t="s">
        <v>136</v>
      </c>
      <c r="E62" s="90" t="str">
        <f>'[1]COMEDORES EMERGENTES'!$G$17</f>
        <v>Bº OJO DE AGUA C/DR.TEODULFO BARRIONUEVO S/Nº</v>
      </c>
    </row>
    <row r="63" spans="2:5" x14ac:dyDescent="0.2">
      <c r="B63" s="174" t="str">
        <f>'[1]COMEDORES EMERGENTES'!$B$18</f>
        <v>RENACER</v>
      </c>
      <c r="C63" s="175"/>
      <c r="D63" s="89" t="s">
        <v>139</v>
      </c>
      <c r="E63" s="90" t="str">
        <f>'[1]COMEDORES EMERGENTES'!$G$18</f>
        <v>Bº VIRGEN MORENITA</v>
      </c>
    </row>
    <row r="64" spans="2:5" x14ac:dyDescent="0.2">
      <c r="B64" s="174" t="str">
        <f>'[1]COMEDORES EMERGENTES'!$B$19</f>
        <v>CENTRO VECINAL MI JARDIN</v>
      </c>
      <c r="C64" s="175"/>
      <c r="D64" s="89" t="s">
        <v>140</v>
      </c>
      <c r="E64" s="90" t="str">
        <f>'[1]COMEDORES EMERGENTES'!$G$19</f>
        <v>C/ LOS TULIPANES ENTRE FLOR DE CEREZO Y HOLANDA MZA.27 Bº MI JARDIN</v>
      </c>
    </row>
    <row r="65" spans="2:5" x14ac:dyDescent="0.2">
      <c r="B65" s="174" t="str">
        <f>'[1]COMEDORES EMERGENTES'!$B$20</f>
        <v>LA VIEJA ESQUINA</v>
      </c>
      <c r="C65" s="175"/>
      <c r="D65" s="89" t="s">
        <v>141</v>
      </c>
      <c r="E65" s="90" t="str">
        <f>'[1]COMEDORES EMERGENTES'!$G$20</f>
        <v>B° CRISTO REY PJE CAPATAZ VILLAFAÑEZ Y ARMANDO CORREA</v>
      </c>
    </row>
    <row r="66" spans="2:5" x14ac:dyDescent="0.2">
      <c r="B66" s="174" t="str">
        <f>'[1]COMEDORES EMERGENTES'!$B$21</f>
        <v>GAUCHITO GIL</v>
      </c>
      <c r="C66" s="175"/>
      <c r="D66" s="89" t="s">
        <v>142</v>
      </c>
      <c r="E66" s="90" t="str">
        <f>'[1]COMEDORES EMERGENTES'!$G$21</f>
        <v>B° 26 VIVIENDAS CASA N° 3</v>
      </c>
    </row>
    <row r="67" spans="2:5" ht="13.5" thickBot="1" x14ac:dyDescent="0.25">
      <c r="B67" s="191" t="str">
        <f>'[1]COMEDORES EMERGENTES'!$B$22</f>
        <v>LOS TOLDOS</v>
      </c>
      <c r="C67" s="192"/>
      <c r="D67" s="96" t="s">
        <v>162</v>
      </c>
      <c r="E67" s="97" t="str">
        <f>'[1]COMEDORES EMERGENTES'!$G$22</f>
        <v>LOTEO PARQUE SUR CALLE S/NOMBRE S/N°</v>
      </c>
    </row>
    <row r="68" spans="2:5" x14ac:dyDescent="0.2">
      <c r="B68" s="14" t="s">
        <v>18</v>
      </c>
      <c r="C68" s="12"/>
      <c r="D68" s="53"/>
      <c r="E68" s="13"/>
    </row>
    <row r="69" spans="2:5" ht="12.75" customHeight="1" x14ac:dyDescent="0.2">
      <c r="B69" s="15"/>
      <c r="C69" s="190" t="s">
        <v>24</v>
      </c>
      <c r="D69" s="190"/>
      <c r="E69" s="190"/>
    </row>
    <row r="70" spans="2:5" x14ac:dyDescent="0.2">
      <c r="B70" s="14" t="s">
        <v>19</v>
      </c>
      <c r="C70" s="16"/>
      <c r="D70" s="16"/>
      <c r="E70" s="17"/>
    </row>
    <row r="71" spans="2:5" ht="14.25" customHeight="1" x14ac:dyDescent="0.2">
      <c r="B71" s="15"/>
      <c r="C71" s="190" t="s">
        <v>101</v>
      </c>
      <c r="D71" s="190"/>
      <c r="E71" s="190"/>
    </row>
    <row r="72" spans="2:5" x14ac:dyDescent="0.2">
      <c r="B72" s="14" t="s">
        <v>20</v>
      </c>
      <c r="C72" s="12"/>
      <c r="D72" s="53"/>
      <c r="E72" s="13"/>
    </row>
    <row r="73" spans="2:5" ht="11.25" customHeight="1" x14ac:dyDescent="0.2">
      <c r="B73" s="14"/>
      <c r="C73" s="189" t="s">
        <v>25</v>
      </c>
      <c r="D73" s="189"/>
      <c r="E73" s="189"/>
    </row>
    <row r="74" spans="2:5" x14ac:dyDescent="0.2">
      <c r="B74" s="18"/>
      <c r="C74" s="19"/>
      <c r="D74" s="54"/>
      <c r="E74" s="20"/>
    </row>
    <row r="75" spans="2:5" ht="13.5" thickBot="1" x14ac:dyDescent="0.25"/>
    <row r="76" spans="2:5" x14ac:dyDescent="0.2">
      <c r="B76" s="8" t="s">
        <v>21</v>
      </c>
      <c r="C76" s="9"/>
      <c r="D76" s="52"/>
      <c r="E76" s="10"/>
    </row>
    <row r="77" spans="2:5" ht="5.25" customHeight="1" x14ac:dyDescent="0.2">
      <c r="B77" s="11"/>
      <c r="C77" s="12"/>
      <c r="D77" s="53"/>
      <c r="E77" s="13"/>
    </row>
    <row r="78" spans="2:5" x14ac:dyDescent="0.2">
      <c r="B78" s="14" t="s">
        <v>16</v>
      </c>
      <c r="C78" s="12"/>
      <c r="D78" s="53"/>
      <c r="E78" s="13"/>
    </row>
    <row r="79" spans="2:5" ht="25.5" customHeight="1" x14ac:dyDescent="0.2">
      <c r="B79" s="14"/>
      <c r="C79" s="190"/>
      <c r="D79" s="190"/>
      <c r="E79" s="190"/>
    </row>
    <row r="80" spans="2:5" ht="13.5" thickBot="1" x14ac:dyDescent="0.25">
      <c r="B80" s="14" t="s">
        <v>17</v>
      </c>
      <c r="C80" s="12"/>
      <c r="D80" s="53"/>
      <c r="E80" s="13"/>
    </row>
    <row r="81" spans="2:5" ht="13.5" thickBot="1" x14ac:dyDescent="0.25">
      <c r="B81" s="176" t="s">
        <v>98</v>
      </c>
      <c r="C81" s="177"/>
      <c r="D81" s="177"/>
      <c r="E81" s="178"/>
    </row>
    <row r="82" spans="2:5" ht="13.5" thickBot="1" x14ac:dyDescent="0.25">
      <c r="B82" s="176" t="s">
        <v>99</v>
      </c>
      <c r="C82" s="178"/>
      <c r="D82" s="50" t="s">
        <v>11</v>
      </c>
      <c r="E82" s="50" t="s">
        <v>100</v>
      </c>
    </row>
    <row r="83" spans="2:5" x14ac:dyDescent="0.2">
      <c r="B83" s="183" t="str">
        <f>'[1]COMEDORES EMERGENTES'!$B$3</f>
        <v>UNA SONRISA AV. LOS COBACHO</v>
      </c>
      <c r="C83" s="184"/>
      <c r="D83" s="94" t="s">
        <v>130</v>
      </c>
      <c r="E83" s="95" t="str">
        <f>'[1]COMEDORES EMERGENTES'!$G$3</f>
        <v>Bº SAN CARLOS OESTE AV. Bonifacio cobacho 670</v>
      </c>
    </row>
    <row r="84" spans="2:5" x14ac:dyDescent="0.2">
      <c r="B84" s="174" t="str">
        <f>'[1]COMEDORES EMERGENTES'!$B$4</f>
        <v>C.I.F Nº1 - RIVERA DEL VALLE Y FLORIDA</v>
      </c>
      <c r="C84" s="175"/>
      <c r="D84" s="89" t="s">
        <v>142</v>
      </c>
      <c r="E84" s="90" t="str">
        <f>'[1]COMEDORES EMERGENTES'!$G$4</f>
        <v>AV. RIVIERA DEL VALLE ENTRE FLORIDA Y SANTA FE</v>
      </c>
    </row>
    <row r="85" spans="2:5" x14ac:dyDescent="0.2">
      <c r="B85" s="174" t="str">
        <f>'[1]COMEDORES EMERGENTES'!$B$5</f>
        <v>C.I.F - RIVERA DEL VALLE - DILORENZO</v>
      </c>
      <c r="C85" s="175"/>
      <c r="D85" s="89" t="s">
        <v>136</v>
      </c>
      <c r="E85" s="90" t="str">
        <f>'[1]COMEDORES EMERGENTES'!$G$5</f>
        <v>Bº RIVERA DEL VALLE ENTRE VILLA EUMELIA Y MONTE CRISTO</v>
      </c>
    </row>
    <row r="86" spans="2:5" x14ac:dyDescent="0.2">
      <c r="B86" s="174" t="str">
        <f>'[1]COMEDORES EMERGENTES'!$B$6</f>
        <v>ESFUERZO PROPIO- Bº ALTOS DE CHOYA</v>
      </c>
      <c r="C86" s="175"/>
      <c r="D86" s="89" t="s">
        <v>129</v>
      </c>
      <c r="E86" s="90" t="str">
        <f>'[1]COMEDORES EMERGENTES'!$G$6</f>
        <v>Bº MUNICIPAL 35VV. NORTE C/14</v>
      </c>
    </row>
    <row r="87" spans="2:5" x14ac:dyDescent="0.2">
      <c r="B87" s="174" t="str">
        <f>'[1]COMEDORES EMERGENTES'!$B$7</f>
        <v>ANGELITOS - LOTEO SUSSEX</v>
      </c>
      <c r="C87" s="175"/>
      <c r="D87" s="89" t="s">
        <v>143</v>
      </c>
      <c r="E87" s="90" t="str">
        <f>'[1]COMEDORES EMERGENTES'!$G$7</f>
        <v>Bº LOTEO SUSEX MZA.Nº 4 LOTE Nº3</v>
      </c>
    </row>
    <row r="88" spans="2:5" x14ac:dyDescent="0.2">
      <c r="B88" s="174" t="str">
        <f>'[1]COMEDORES EMERGENTES'!$B$8</f>
        <v>CLUB DEPORTIVO CHACARITA</v>
      </c>
      <c r="C88" s="175"/>
      <c r="D88" s="89" t="s">
        <v>144</v>
      </c>
      <c r="E88" s="90" t="str">
        <f>'[1]COMEDORES EMERGENTES'!$G$8</f>
        <v>CALLE DR.DERMIDIO GALINDEZ C/2660</v>
      </c>
    </row>
    <row r="89" spans="2:5" x14ac:dyDescent="0.2">
      <c r="B89" s="174" t="str">
        <f>'[1]COMEDORES EMERGENTES'!$B$9</f>
        <v>LA MORO</v>
      </c>
      <c r="C89" s="175"/>
      <c r="D89" s="89" t="s">
        <v>145</v>
      </c>
      <c r="E89" s="90" t="str">
        <f>'[1]COMEDORES EMERGENTES'!$G$9</f>
        <v>MAIPU NORTE 1º ETAPA MZA "H" Bº MI JARDIN</v>
      </c>
    </row>
    <row r="90" spans="2:5" x14ac:dyDescent="0.2">
      <c r="B90" s="174" t="str">
        <f>'[1]COMEDORES EMERGENTES'!$B$10</f>
        <v>PAPA FRANCISCO</v>
      </c>
      <c r="C90" s="175"/>
      <c r="D90" s="89" t="s">
        <v>146</v>
      </c>
      <c r="E90" s="90" t="str">
        <f>'[1]COMEDORES EMERGENTES'!$G$10</f>
        <v>ENTRE AV.TEREBINTO Y AV.SAN JUAN LOTE "2" MZA. "B"</v>
      </c>
    </row>
    <row r="91" spans="2:5" x14ac:dyDescent="0.2">
      <c r="B91" s="174" t="str">
        <f>'[1]COMEDORES EMERGENTES'!$B$11</f>
        <v>E.P.C - 100 V.V NORTE</v>
      </c>
      <c r="C91" s="175"/>
      <c r="D91" s="89" t="s">
        <v>133</v>
      </c>
      <c r="E91" s="90" t="str">
        <f>'[1]COMEDORES EMERGENTES'!$G$11</f>
        <v>Bº VV NORTE C/48 ENTRE ESPAÑA Y FRANCIA</v>
      </c>
    </row>
    <row r="92" spans="2:5" x14ac:dyDescent="0.2">
      <c r="B92" s="174" t="str">
        <f>'[1]COMEDORES EMERGENTES'!$B$12</f>
        <v>HOGAR DE CRISTO - PADRE RAUL CONTRERAS</v>
      </c>
      <c r="C92" s="175"/>
      <c r="D92" s="89" t="s">
        <v>133</v>
      </c>
      <c r="E92" s="90" t="str">
        <f>'[1]COMEDORES EMERGENTES'!$G$12</f>
        <v>Bº SANTA MARTA MZA. "S" LOTE "M" C/39</v>
      </c>
    </row>
    <row r="93" spans="2:5" x14ac:dyDescent="0.2">
      <c r="B93" s="174" t="str">
        <f>'[1]COMEDORES EMERGENTES'!$B$13</f>
        <v>LA LUCIERNAGA</v>
      </c>
      <c r="C93" s="175"/>
      <c r="D93" s="89" t="s">
        <v>146</v>
      </c>
      <c r="E93" s="90" t="str">
        <f>'[1]COMEDORES EMERGENTES'!$G$13</f>
        <v>Bº 20 V.V NORTE C/3</v>
      </c>
    </row>
    <row r="94" spans="2:5" x14ac:dyDescent="0.2">
      <c r="B94" s="174" t="str">
        <f>'[1]COMEDORES EMERGENTES'!$B$14</f>
        <v>VALLE VIEJO - SUMALAO</v>
      </c>
      <c r="C94" s="175"/>
      <c r="D94" s="89" t="s">
        <v>147</v>
      </c>
      <c r="E94" s="90" t="str">
        <f>'[1]COMEDORES EMERGENTES'!$G$14</f>
        <v>PADRE SEGURA S/N</v>
      </c>
    </row>
    <row r="95" spans="2:5" x14ac:dyDescent="0.2">
      <c r="B95" s="174" t="str">
        <f>'[1]COMEDORES EMERGENTES'!$B$15</f>
        <v>NUESTRO FUTURO - LAS VIAS</v>
      </c>
      <c r="C95" s="175"/>
      <c r="D95" s="89" t="s">
        <v>146</v>
      </c>
      <c r="E95" s="90" t="str">
        <f>'[1]COMEDORES EMERGENTES'!$G$15</f>
        <v>Bº LAS VIAS OESTE LOTE 42</v>
      </c>
    </row>
    <row r="96" spans="2:5" x14ac:dyDescent="0.2">
      <c r="B96" s="174" t="str">
        <f>'[1]COMEDORES EMERGENTES'!$B$16</f>
        <v>SAN JOSE OBRERO</v>
      </c>
      <c r="C96" s="175"/>
      <c r="D96" s="89" t="s">
        <v>144</v>
      </c>
      <c r="E96" s="90" t="str">
        <f>'[1]COMEDORES EMERGENTES'!$G$16</f>
        <v>Bº SAN JOSE OBRERO. PJE. SANDOVAL S/Nº</v>
      </c>
    </row>
    <row r="97" spans="2:5" x14ac:dyDescent="0.2">
      <c r="B97" s="174" t="str">
        <f>'[1]COMEDORES EMERGENTES'!$B$17</f>
        <v>VIRGEN DE LUJAN</v>
      </c>
      <c r="C97" s="175"/>
      <c r="D97" s="89" t="s">
        <v>146</v>
      </c>
      <c r="E97" s="90" t="str">
        <f>'[1]COMEDORES EMERGENTES'!$G$17</f>
        <v>Bº OJO DE AGUA C/DR.TEODULFO BARRIONUEVO S/Nº</v>
      </c>
    </row>
    <row r="98" spans="2:5" x14ac:dyDescent="0.2">
      <c r="B98" s="174" t="str">
        <f>'[1]COMEDORES EMERGENTES'!$B$18</f>
        <v>RENACER</v>
      </c>
      <c r="C98" s="175"/>
      <c r="D98" s="89" t="s">
        <v>148</v>
      </c>
      <c r="E98" s="90" t="str">
        <f>'[1]COMEDORES EMERGENTES'!$G$18</f>
        <v>Bº VIRGEN MORENITA</v>
      </c>
    </row>
    <row r="99" spans="2:5" x14ac:dyDescent="0.2">
      <c r="B99" s="174" t="str">
        <f>'[1]COMEDORES EMERGENTES'!$B$19</f>
        <v>CENTRO VECINAL MI JARDIN</v>
      </c>
      <c r="C99" s="175"/>
      <c r="D99" s="89" t="s">
        <v>135</v>
      </c>
      <c r="E99" s="90" t="str">
        <f>'[1]COMEDORES EMERGENTES'!$G$19</f>
        <v>C/ LOS TULIPANES ENTRE FLOR DE CEREZO Y HOLANDA MZA.27 Bº MI JARDIN</v>
      </c>
    </row>
    <row r="100" spans="2:5" x14ac:dyDescent="0.2">
      <c r="B100" s="174" t="str">
        <f>'[1]COMEDORES EMERGENTES'!$B$20</f>
        <v>LA VIEJA ESQUINA</v>
      </c>
      <c r="C100" s="175"/>
      <c r="D100" s="89" t="s">
        <v>149</v>
      </c>
      <c r="E100" s="90" t="str">
        <f>'[1]COMEDORES EMERGENTES'!$G$20</f>
        <v>B° CRISTO REY PJE CAPATAZ VILLAFAÑEZ Y ARMANDO CORREA</v>
      </c>
    </row>
    <row r="101" spans="2:5" x14ac:dyDescent="0.2">
      <c r="B101" s="174" t="str">
        <f>'[1]COMEDORES EMERGENTES'!$B$21</f>
        <v>GAUCHITO GIL</v>
      </c>
      <c r="C101" s="175"/>
      <c r="D101" s="89" t="s">
        <v>130</v>
      </c>
      <c r="E101" s="90" t="str">
        <f>'[1]COMEDORES EMERGENTES'!$G$21</f>
        <v>B° 26 VIVIENDAS CASA N° 3</v>
      </c>
    </row>
    <row r="102" spans="2:5" ht="13.5" thickBot="1" x14ac:dyDescent="0.25">
      <c r="B102" s="191" t="str">
        <f>'[1]COMEDORES EMERGENTES'!$B$22</f>
        <v>LOS TOLDOS</v>
      </c>
      <c r="C102" s="192"/>
      <c r="D102" s="96" t="s">
        <v>161</v>
      </c>
      <c r="E102" s="97" t="str">
        <f>'[1]COMEDORES EMERGENTES'!$G$22</f>
        <v>LOTEO PARQUE SUR CALLE S/NOMBRE S/N°</v>
      </c>
    </row>
    <row r="103" spans="2:5" x14ac:dyDescent="0.2">
      <c r="B103" s="14" t="s">
        <v>18</v>
      </c>
      <c r="C103" s="12"/>
      <c r="D103" s="53"/>
      <c r="E103" s="13"/>
    </row>
    <row r="104" spans="2:5" ht="12.75" customHeight="1" x14ac:dyDescent="0.2">
      <c r="B104" s="15"/>
      <c r="C104" s="190" t="s">
        <v>24</v>
      </c>
      <c r="D104" s="190"/>
      <c r="E104" s="190"/>
    </row>
    <row r="105" spans="2:5" x14ac:dyDescent="0.2">
      <c r="B105" s="14" t="s">
        <v>19</v>
      </c>
      <c r="C105" s="16"/>
      <c r="D105" s="16"/>
      <c r="E105" s="17"/>
    </row>
    <row r="106" spans="2:5" ht="14.25" customHeight="1" x14ac:dyDescent="0.2">
      <c r="B106" s="15"/>
      <c r="C106" s="190" t="s">
        <v>101</v>
      </c>
      <c r="D106" s="190"/>
      <c r="E106" s="190"/>
    </row>
    <row r="107" spans="2:5" x14ac:dyDescent="0.2">
      <c r="B107" s="14" t="s">
        <v>20</v>
      </c>
      <c r="C107" s="12"/>
      <c r="D107" s="53"/>
      <c r="E107" s="13"/>
    </row>
    <row r="108" spans="2:5" ht="11.25" customHeight="1" x14ac:dyDescent="0.2">
      <c r="B108" s="14"/>
      <c r="C108" s="189" t="s">
        <v>25</v>
      </c>
      <c r="D108" s="189"/>
      <c r="E108" s="189"/>
    </row>
    <row r="109" spans="2:5" ht="13.5" thickBot="1" x14ac:dyDescent="0.25">
      <c r="B109" s="18"/>
      <c r="C109" s="19"/>
      <c r="D109" s="54"/>
      <c r="E109" s="20"/>
    </row>
    <row r="110" spans="2:5" ht="13.5" thickBot="1" x14ac:dyDescent="0.25"/>
    <row r="111" spans="2:5" x14ac:dyDescent="0.2">
      <c r="B111" s="8" t="s">
        <v>26</v>
      </c>
      <c r="C111" s="9"/>
      <c r="D111" s="52"/>
      <c r="E111" s="10"/>
    </row>
    <row r="112" spans="2:5" ht="5.25" customHeight="1" x14ac:dyDescent="0.2">
      <c r="B112" s="11"/>
      <c r="C112" s="12"/>
      <c r="D112" s="53"/>
      <c r="E112" s="13"/>
    </row>
    <row r="113" spans="2:5" x14ac:dyDescent="0.2">
      <c r="B113" s="14" t="s">
        <v>16</v>
      </c>
      <c r="C113" s="12"/>
      <c r="D113" s="53"/>
      <c r="E113" s="13"/>
    </row>
    <row r="114" spans="2:5" ht="25.5" customHeight="1" x14ac:dyDescent="0.2">
      <c r="B114" s="14"/>
      <c r="C114" s="180"/>
      <c r="D114" s="180"/>
      <c r="E114" s="181"/>
    </row>
    <row r="115" spans="2:5" ht="13.5" thickBot="1" x14ac:dyDescent="0.25">
      <c r="B115" s="14" t="s">
        <v>17</v>
      </c>
      <c r="C115" s="12"/>
      <c r="D115" s="53"/>
      <c r="E115" s="13"/>
    </row>
    <row r="116" spans="2:5" ht="13.5" thickBot="1" x14ac:dyDescent="0.25">
      <c r="B116" s="176" t="s">
        <v>98</v>
      </c>
      <c r="C116" s="177"/>
      <c r="D116" s="177"/>
      <c r="E116" s="178"/>
    </row>
    <row r="117" spans="2:5" ht="13.5" thickBot="1" x14ac:dyDescent="0.25">
      <c r="B117" s="176" t="s">
        <v>99</v>
      </c>
      <c r="C117" s="178"/>
      <c r="D117" s="50" t="s">
        <v>11</v>
      </c>
      <c r="E117" s="50" t="s">
        <v>100</v>
      </c>
    </row>
    <row r="118" spans="2:5" x14ac:dyDescent="0.2">
      <c r="B118" s="183" t="str">
        <f>'[1]COMEDORES EMERGENTES'!$B$3</f>
        <v>UNA SONRISA AV. LOS COBACHO</v>
      </c>
      <c r="C118" s="184"/>
      <c r="D118" s="94" t="s">
        <v>150</v>
      </c>
      <c r="E118" s="95" t="str">
        <f>'[1]COMEDORES EMERGENTES'!$G$3</f>
        <v>Bº SAN CARLOS OESTE AV. Bonifacio cobacho 670</v>
      </c>
    </row>
    <row r="119" spans="2:5" x14ac:dyDescent="0.2">
      <c r="B119" s="174" t="str">
        <f>'[1]COMEDORES EMERGENTES'!$B$4</f>
        <v>C.I.F Nº1 - RIVERA DEL VALLE Y FLORIDA</v>
      </c>
      <c r="C119" s="175"/>
      <c r="D119" s="89" t="s">
        <v>151</v>
      </c>
      <c r="E119" s="90" t="str">
        <f>'[1]COMEDORES EMERGENTES'!$G$4</f>
        <v>AV. RIVIERA DEL VALLE ENTRE FLORIDA Y SANTA FE</v>
      </c>
    </row>
    <row r="120" spans="2:5" x14ac:dyDescent="0.2">
      <c r="B120" s="174" t="str">
        <f>'[1]COMEDORES EMERGENTES'!$B$5</f>
        <v>C.I.F - RIVERA DEL VALLE - DILORENZO</v>
      </c>
      <c r="C120" s="175"/>
      <c r="D120" s="89" t="s">
        <v>152</v>
      </c>
      <c r="E120" s="90" t="str">
        <f>'[1]COMEDORES EMERGENTES'!$G$5</f>
        <v>Bº RIVERA DEL VALLE ENTRE VILLA EUMELIA Y MONTE CRISTO</v>
      </c>
    </row>
    <row r="121" spans="2:5" x14ac:dyDescent="0.2">
      <c r="B121" s="174" t="str">
        <f>'[1]COMEDORES EMERGENTES'!$B$6</f>
        <v>ESFUERZO PROPIO- Bº ALTOS DE CHOYA</v>
      </c>
      <c r="C121" s="175"/>
      <c r="D121" s="89" t="s">
        <v>153</v>
      </c>
      <c r="E121" s="90" t="str">
        <f>'[1]COMEDORES EMERGENTES'!$G$6</f>
        <v>Bº MUNICIPAL 35VV. NORTE C/14</v>
      </c>
    </row>
    <row r="122" spans="2:5" x14ac:dyDescent="0.2">
      <c r="B122" s="174" t="str">
        <f>'[1]COMEDORES EMERGENTES'!$B$7</f>
        <v>ANGELITOS - LOTEO SUSSEX</v>
      </c>
      <c r="C122" s="175"/>
      <c r="D122" s="89" t="s">
        <v>135</v>
      </c>
      <c r="E122" s="90" t="str">
        <f>'[1]COMEDORES EMERGENTES'!$G$7</f>
        <v>Bº LOTEO SUSEX MZA.Nº 4 LOTE Nº3</v>
      </c>
    </row>
    <row r="123" spans="2:5" x14ac:dyDescent="0.2">
      <c r="B123" s="174" t="str">
        <f>'[1]COMEDORES EMERGENTES'!$B$8</f>
        <v>CLUB DEPORTIVO CHACARITA</v>
      </c>
      <c r="C123" s="175"/>
      <c r="D123" s="89" t="s">
        <v>141</v>
      </c>
      <c r="E123" s="90" t="str">
        <f>'[1]COMEDORES EMERGENTES'!$G$8</f>
        <v>CALLE DR.DERMIDIO GALINDEZ C/2660</v>
      </c>
    </row>
    <row r="124" spans="2:5" x14ac:dyDescent="0.2">
      <c r="B124" s="174" t="str">
        <f>'[1]COMEDORES EMERGENTES'!$B$9</f>
        <v>LA MORO</v>
      </c>
      <c r="C124" s="175"/>
      <c r="D124" s="89" t="s">
        <v>129</v>
      </c>
      <c r="E124" s="90" t="str">
        <f>'[1]COMEDORES EMERGENTES'!$G$9</f>
        <v>MAIPU NORTE 1º ETAPA MZA "H" Bº MI JARDIN</v>
      </c>
    </row>
    <row r="125" spans="2:5" x14ac:dyDescent="0.2">
      <c r="B125" s="174" t="str">
        <f>'[1]COMEDORES EMERGENTES'!$B$10</f>
        <v>PAPA FRANCISCO</v>
      </c>
      <c r="C125" s="175"/>
      <c r="D125" s="89" t="s">
        <v>154</v>
      </c>
      <c r="E125" s="90" t="str">
        <f>'[1]COMEDORES EMERGENTES'!$G$10</f>
        <v>ENTRE AV.TEREBINTO Y AV.SAN JUAN LOTE "2" MZA. "B"</v>
      </c>
    </row>
    <row r="126" spans="2:5" x14ac:dyDescent="0.2">
      <c r="B126" s="174" t="str">
        <f>'[1]COMEDORES EMERGENTES'!$B$11</f>
        <v>E.P.C - 100 V.V NORTE</v>
      </c>
      <c r="C126" s="175"/>
      <c r="D126" s="89" t="s">
        <v>155</v>
      </c>
      <c r="E126" s="90" t="str">
        <f>'[1]COMEDORES EMERGENTES'!$G$11</f>
        <v>Bº VV NORTE C/48 ENTRE ESPAÑA Y FRANCIA</v>
      </c>
    </row>
    <row r="127" spans="2:5" x14ac:dyDescent="0.2">
      <c r="B127" s="174" t="str">
        <f>'[1]COMEDORES EMERGENTES'!$B$12</f>
        <v>HOGAR DE CRISTO - PADRE RAUL CONTRERAS</v>
      </c>
      <c r="C127" s="175"/>
      <c r="D127" s="89" t="s">
        <v>155</v>
      </c>
      <c r="E127" s="90" t="str">
        <f>'[1]COMEDORES EMERGENTES'!$G$12</f>
        <v>Bº SANTA MARTA MZA. "S" LOTE "M" C/39</v>
      </c>
    </row>
    <row r="128" spans="2:5" x14ac:dyDescent="0.2">
      <c r="B128" s="174" t="str">
        <f>'[1]COMEDORES EMERGENTES'!$B$13</f>
        <v>LA LUCIERNAGA</v>
      </c>
      <c r="C128" s="175"/>
      <c r="D128" s="89" t="s">
        <v>154</v>
      </c>
      <c r="E128" s="90" t="str">
        <f>'[1]COMEDORES EMERGENTES'!$G$13</f>
        <v>Bº 20 V.V NORTE C/3</v>
      </c>
    </row>
    <row r="129" spans="2:5" x14ac:dyDescent="0.2">
      <c r="B129" s="174" t="str">
        <f>'[1]COMEDORES EMERGENTES'!$B$14</f>
        <v>VALLE VIEJO - SUMALAO</v>
      </c>
      <c r="C129" s="175"/>
      <c r="D129" s="89" t="s">
        <v>156</v>
      </c>
      <c r="E129" s="90" t="str">
        <f>'[1]COMEDORES EMERGENTES'!$G$14</f>
        <v>PADRE SEGURA S/N</v>
      </c>
    </row>
    <row r="130" spans="2:5" x14ac:dyDescent="0.2">
      <c r="B130" s="174" t="str">
        <f>'[1]COMEDORES EMERGENTES'!$B$15</f>
        <v>NUESTRO FUTURO - LAS VIAS</v>
      </c>
      <c r="C130" s="175"/>
      <c r="D130" s="89" t="s">
        <v>154</v>
      </c>
      <c r="E130" s="90" t="str">
        <f>'[1]COMEDORES EMERGENTES'!$G$15</f>
        <v>Bº LAS VIAS OESTE LOTE 42</v>
      </c>
    </row>
    <row r="131" spans="2:5" x14ac:dyDescent="0.2">
      <c r="B131" s="174" t="str">
        <f>'[1]COMEDORES EMERGENTES'!$B$16</f>
        <v>SAN JOSE OBRERO</v>
      </c>
      <c r="C131" s="175"/>
      <c r="D131" s="89" t="s">
        <v>141</v>
      </c>
      <c r="E131" s="90" t="str">
        <f>'[1]COMEDORES EMERGENTES'!$G$16</f>
        <v>Bº SAN JOSE OBRERO. PJE. SANDOVAL S/Nº</v>
      </c>
    </row>
    <row r="132" spans="2:5" x14ac:dyDescent="0.2">
      <c r="B132" s="174" t="str">
        <f>'[1]COMEDORES EMERGENTES'!$B$17</f>
        <v>VIRGEN DE LUJAN</v>
      </c>
      <c r="C132" s="175"/>
      <c r="D132" s="89" t="s">
        <v>154</v>
      </c>
      <c r="E132" s="90" t="str">
        <f>'[1]COMEDORES EMERGENTES'!$G$17</f>
        <v>Bº OJO DE AGUA C/DR.TEODULFO BARRIONUEVO S/Nº</v>
      </c>
    </row>
    <row r="133" spans="2:5" x14ac:dyDescent="0.2">
      <c r="B133" s="174" t="str">
        <f>'[1]COMEDORES EMERGENTES'!$B$18</f>
        <v>RENACER</v>
      </c>
      <c r="C133" s="175"/>
      <c r="D133" s="89" t="s">
        <v>157</v>
      </c>
      <c r="E133" s="90" t="str">
        <f>'[1]COMEDORES EMERGENTES'!$G$18</f>
        <v>Bº VIRGEN MORENITA</v>
      </c>
    </row>
    <row r="134" spans="2:5" x14ac:dyDescent="0.2">
      <c r="B134" s="174" t="str">
        <f>'[1]COMEDORES EMERGENTES'!$B$19</f>
        <v>CENTRO VECINAL MI JARDIN</v>
      </c>
      <c r="C134" s="175"/>
      <c r="D134" s="89" t="s">
        <v>158</v>
      </c>
      <c r="E134" s="90" t="str">
        <f>'[1]COMEDORES EMERGENTES'!$G$19</f>
        <v>C/ LOS TULIPANES ENTRE FLOR DE CEREZO Y HOLANDA MZA.27 Bº MI JARDIN</v>
      </c>
    </row>
    <row r="135" spans="2:5" x14ac:dyDescent="0.2">
      <c r="B135" s="174" t="str">
        <f>'[1]COMEDORES EMERGENTES'!$B$20</f>
        <v>LA VIEJA ESQUINA</v>
      </c>
      <c r="C135" s="175"/>
      <c r="D135" s="89" t="s">
        <v>159</v>
      </c>
      <c r="E135" s="90" t="str">
        <f>'[1]COMEDORES EMERGENTES'!$G$20</f>
        <v>B° CRISTO REY PJE CAPATAZ VILLAFAÑEZ Y ARMANDO CORREA</v>
      </c>
    </row>
    <row r="136" spans="2:5" x14ac:dyDescent="0.2">
      <c r="B136" s="174" t="str">
        <f>'[1]COMEDORES EMERGENTES'!$B$21</f>
        <v>GAUCHITO GIL</v>
      </c>
      <c r="C136" s="175"/>
      <c r="D136" s="89" t="s">
        <v>159</v>
      </c>
      <c r="E136" s="90" t="str">
        <f>'[1]COMEDORES EMERGENTES'!$G$21</f>
        <v>B° 26 VIVIENDAS CASA N° 3</v>
      </c>
    </row>
    <row r="137" spans="2:5" ht="13.5" thickBot="1" x14ac:dyDescent="0.25">
      <c r="B137" s="191" t="str">
        <f>'[1]COMEDORES EMERGENTES'!$B$22</f>
        <v>LOS TOLDOS</v>
      </c>
      <c r="C137" s="192"/>
      <c r="D137" s="96" t="s">
        <v>164</v>
      </c>
      <c r="E137" s="97" t="str">
        <f>'[1]COMEDORES EMERGENTES'!$G$22</f>
        <v>LOTEO PARQUE SUR CALLE S/NOMBRE S/N°</v>
      </c>
    </row>
    <row r="138" spans="2:5" x14ac:dyDescent="0.2">
      <c r="B138" s="14" t="s">
        <v>18</v>
      </c>
      <c r="C138" s="12"/>
      <c r="D138" s="53"/>
      <c r="E138" s="13"/>
    </row>
    <row r="139" spans="2:5" ht="12.75" customHeight="1" x14ac:dyDescent="0.2">
      <c r="B139" s="15"/>
      <c r="C139" s="190" t="s">
        <v>24</v>
      </c>
      <c r="D139" s="190"/>
      <c r="E139" s="190"/>
    </row>
    <row r="140" spans="2:5" x14ac:dyDescent="0.2">
      <c r="B140" s="14" t="s">
        <v>19</v>
      </c>
      <c r="C140" s="16"/>
      <c r="D140" s="16"/>
      <c r="E140" s="17"/>
    </row>
    <row r="141" spans="2:5" ht="14.25" customHeight="1" x14ac:dyDescent="0.2">
      <c r="B141" s="15"/>
      <c r="C141" s="190" t="s">
        <v>101</v>
      </c>
      <c r="D141" s="190"/>
      <c r="E141" s="190"/>
    </row>
    <row r="142" spans="2:5" x14ac:dyDescent="0.2">
      <c r="B142" s="14" t="s">
        <v>20</v>
      </c>
      <c r="C142" s="12"/>
      <c r="D142" s="53"/>
      <c r="E142" s="13"/>
    </row>
    <row r="143" spans="2:5" ht="11.25" customHeight="1" x14ac:dyDescent="0.2">
      <c r="B143" s="14"/>
      <c r="C143" s="189" t="s">
        <v>25</v>
      </c>
      <c r="D143" s="189"/>
      <c r="E143" s="189"/>
    </row>
    <row r="144" spans="2:5" ht="13.5" thickBot="1" x14ac:dyDescent="0.25">
      <c r="B144" s="18"/>
      <c r="C144" s="19"/>
      <c r="D144" s="54"/>
      <c r="E144" s="20"/>
    </row>
    <row r="145" spans="2:5" ht="13.5" thickBot="1" x14ac:dyDescent="0.25"/>
    <row r="146" spans="2:5" x14ac:dyDescent="0.2">
      <c r="B146" s="8" t="s">
        <v>102</v>
      </c>
      <c r="C146" s="9"/>
      <c r="D146" s="52"/>
      <c r="E146" s="10"/>
    </row>
    <row r="147" spans="2:5" ht="5.25" customHeight="1" x14ac:dyDescent="0.2">
      <c r="B147" s="11"/>
      <c r="C147" s="12"/>
      <c r="D147" s="53"/>
      <c r="E147" s="13"/>
    </row>
    <row r="148" spans="2:5" x14ac:dyDescent="0.2">
      <c r="B148" s="14" t="s">
        <v>16</v>
      </c>
      <c r="C148" s="12"/>
      <c r="D148" s="53"/>
      <c r="E148" s="13"/>
    </row>
    <row r="149" spans="2:5" ht="25.5" customHeight="1" x14ac:dyDescent="0.2">
      <c r="B149" s="14"/>
      <c r="C149" s="180"/>
      <c r="D149" s="180"/>
      <c r="E149" s="181"/>
    </row>
    <row r="150" spans="2:5" ht="13.5" thickBot="1" x14ac:dyDescent="0.25">
      <c r="B150" s="14" t="s">
        <v>17</v>
      </c>
      <c r="C150" s="12"/>
      <c r="D150" s="53"/>
      <c r="E150" s="13"/>
    </row>
    <row r="151" spans="2:5" ht="13.5" thickBot="1" x14ac:dyDescent="0.25">
      <c r="B151" s="176" t="s">
        <v>98</v>
      </c>
      <c r="C151" s="177"/>
      <c r="D151" s="177"/>
      <c r="E151" s="178"/>
    </row>
    <row r="152" spans="2:5" ht="13.5" thickBot="1" x14ac:dyDescent="0.25">
      <c r="B152" s="176" t="s">
        <v>99</v>
      </c>
      <c r="C152" s="178"/>
      <c r="D152" s="50" t="s">
        <v>11</v>
      </c>
      <c r="E152" s="50" t="s">
        <v>100</v>
      </c>
    </row>
    <row r="153" spans="2:5" x14ac:dyDescent="0.2">
      <c r="B153" s="183" t="str">
        <f>'[1]COMEDORES EMERGENTES'!$B$3</f>
        <v>UNA SONRISA AV. LOS COBACHO</v>
      </c>
      <c r="C153" s="184"/>
      <c r="D153" s="94" t="s">
        <v>150</v>
      </c>
      <c r="E153" s="95" t="str">
        <f>'[1]COMEDORES EMERGENTES'!$G$3</f>
        <v>Bº SAN CARLOS OESTE AV. Bonifacio cobacho 670</v>
      </c>
    </row>
    <row r="154" spans="2:5" x14ac:dyDescent="0.2">
      <c r="B154" s="174" t="str">
        <f>'[1]COMEDORES EMERGENTES'!$B$4</f>
        <v>C.I.F Nº1 - RIVERA DEL VALLE Y FLORIDA</v>
      </c>
      <c r="C154" s="175"/>
      <c r="D154" s="89" t="s">
        <v>151</v>
      </c>
      <c r="E154" s="90" t="str">
        <f>'[1]COMEDORES EMERGENTES'!$G$4</f>
        <v>AV. RIVIERA DEL VALLE ENTRE FLORIDA Y SANTA FE</v>
      </c>
    </row>
    <row r="155" spans="2:5" x14ac:dyDescent="0.2">
      <c r="B155" s="174" t="str">
        <f>'[1]COMEDORES EMERGENTES'!$B$5</f>
        <v>C.I.F - RIVERA DEL VALLE - DILORENZO</v>
      </c>
      <c r="C155" s="175"/>
      <c r="D155" s="89" t="s">
        <v>152</v>
      </c>
      <c r="E155" s="90" t="str">
        <f>'[1]COMEDORES EMERGENTES'!$G$5</f>
        <v>Bº RIVERA DEL VALLE ENTRE VILLA EUMELIA Y MONTE CRISTO</v>
      </c>
    </row>
    <row r="156" spans="2:5" x14ac:dyDescent="0.2">
      <c r="B156" s="174" t="str">
        <f>'[1]COMEDORES EMERGENTES'!$B$6</f>
        <v>ESFUERZO PROPIO- Bº ALTOS DE CHOYA</v>
      </c>
      <c r="C156" s="175"/>
      <c r="D156" s="89" t="s">
        <v>153</v>
      </c>
      <c r="E156" s="90" t="str">
        <f>'[1]COMEDORES EMERGENTES'!$G$6</f>
        <v>Bº MUNICIPAL 35VV. NORTE C/14</v>
      </c>
    </row>
    <row r="157" spans="2:5" x14ac:dyDescent="0.2">
      <c r="B157" s="174" t="str">
        <f>'[1]COMEDORES EMERGENTES'!$B$7</f>
        <v>ANGELITOS - LOTEO SUSSEX</v>
      </c>
      <c r="C157" s="175"/>
      <c r="D157" s="89" t="s">
        <v>135</v>
      </c>
      <c r="E157" s="90" t="str">
        <f>'[1]COMEDORES EMERGENTES'!$G$7</f>
        <v>Bº LOTEO SUSEX MZA.Nº 4 LOTE Nº3</v>
      </c>
    </row>
    <row r="158" spans="2:5" x14ac:dyDescent="0.2">
      <c r="B158" s="174" t="str">
        <f>'[1]COMEDORES EMERGENTES'!$B$8</f>
        <v>CLUB DEPORTIVO CHACARITA</v>
      </c>
      <c r="C158" s="175"/>
      <c r="D158" s="89" t="s">
        <v>141</v>
      </c>
      <c r="E158" s="90" t="str">
        <f>'[1]COMEDORES EMERGENTES'!$G$8</f>
        <v>CALLE DR.DERMIDIO GALINDEZ C/2660</v>
      </c>
    </row>
    <row r="159" spans="2:5" x14ac:dyDescent="0.2">
      <c r="B159" s="174" t="str">
        <f>'[1]COMEDORES EMERGENTES'!$B$9</f>
        <v>LA MORO</v>
      </c>
      <c r="C159" s="175"/>
      <c r="D159" s="89" t="s">
        <v>129</v>
      </c>
      <c r="E159" s="90" t="str">
        <f>'[1]COMEDORES EMERGENTES'!$G$9</f>
        <v>MAIPU NORTE 1º ETAPA MZA "H" Bº MI JARDIN</v>
      </c>
    </row>
    <row r="160" spans="2:5" x14ac:dyDescent="0.2">
      <c r="B160" s="174" t="str">
        <f>'[1]COMEDORES EMERGENTES'!$B$10</f>
        <v>PAPA FRANCISCO</v>
      </c>
      <c r="C160" s="175"/>
      <c r="D160" s="89" t="s">
        <v>154</v>
      </c>
      <c r="E160" s="90" t="str">
        <f>'[1]COMEDORES EMERGENTES'!$G$10</f>
        <v>ENTRE AV.TEREBINTO Y AV.SAN JUAN LOTE "2" MZA. "B"</v>
      </c>
    </row>
    <row r="161" spans="2:5" x14ac:dyDescent="0.2">
      <c r="B161" s="174" t="str">
        <f>'[1]COMEDORES EMERGENTES'!$B$11</f>
        <v>E.P.C - 100 V.V NORTE</v>
      </c>
      <c r="C161" s="175"/>
      <c r="D161" s="89" t="s">
        <v>155</v>
      </c>
      <c r="E161" s="90" t="str">
        <f>'[1]COMEDORES EMERGENTES'!$G$11</f>
        <v>Bº VV NORTE C/48 ENTRE ESPAÑA Y FRANCIA</v>
      </c>
    </row>
    <row r="162" spans="2:5" x14ac:dyDescent="0.2">
      <c r="B162" s="174" t="str">
        <f>'[1]COMEDORES EMERGENTES'!$B$12</f>
        <v>HOGAR DE CRISTO - PADRE RAUL CONTRERAS</v>
      </c>
      <c r="C162" s="175"/>
      <c r="D162" s="89" t="s">
        <v>155</v>
      </c>
      <c r="E162" s="90" t="str">
        <f>'[1]COMEDORES EMERGENTES'!$G$12</f>
        <v>Bº SANTA MARTA MZA. "S" LOTE "M" C/39</v>
      </c>
    </row>
    <row r="163" spans="2:5" x14ac:dyDescent="0.2">
      <c r="B163" s="174" t="str">
        <f>'[1]COMEDORES EMERGENTES'!$B$13</f>
        <v>LA LUCIERNAGA</v>
      </c>
      <c r="C163" s="175"/>
      <c r="D163" s="89" t="s">
        <v>154</v>
      </c>
      <c r="E163" s="90" t="str">
        <f>'[1]COMEDORES EMERGENTES'!$G$13</f>
        <v>Bº 20 V.V NORTE C/3</v>
      </c>
    </row>
    <row r="164" spans="2:5" x14ac:dyDescent="0.2">
      <c r="B164" s="174" t="str">
        <f>'[1]COMEDORES EMERGENTES'!$B$14</f>
        <v>VALLE VIEJO - SUMALAO</v>
      </c>
      <c r="C164" s="175"/>
      <c r="D164" s="89" t="s">
        <v>156</v>
      </c>
      <c r="E164" s="90" t="str">
        <f>'[1]COMEDORES EMERGENTES'!$G$14</f>
        <v>PADRE SEGURA S/N</v>
      </c>
    </row>
    <row r="165" spans="2:5" x14ac:dyDescent="0.2">
      <c r="B165" s="174" t="str">
        <f>'[1]COMEDORES EMERGENTES'!$B$15</f>
        <v>NUESTRO FUTURO - LAS VIAS</v>
      </c>
      <c r="C165" s="175"/>
      <c r="D165" s="89" t="s">
        <v>154</v>
      </c>
      <c r="E165" s="90" t="str">
        <f>'[1]COMEDORES EMERGENTES'!$G$15</f>
        <v>Bº LAS VIAS OESTE LOTE 42</v>
      </c>
    </row>
    <row r="166" spans="2:5" x14ac:dyDescent="0.2">
      <c r="B166" s="174" t="str">
        <f>'[1]COMEDORES EMERGENTES'!$B$16</f>
        <v>SAN JOSE OBRERO</v>
      </c>
      <c r="C166" s="175"/>
      <c r="D166" s="89" t="s">
        <v>141</v>
      </c>
      <c r="E166" s="90" t="str">
        <f>'[1]COMEDORES EMERGENTES'!$G$16</f>
        <v>Bº SAN JOSE OBRERO. PJE. SANDOVAL S/Nº</v>
      </c>
    </row>
    <row r="167" spans="2:5" x14ac:dyDescent="0.2">
      <c r="B167" s="174" t="str">
        <f>'[1]COMEDORES EMERGENTES'!$B$17</f>
        <v>VIRGEN DE LUJAN</v>
      </c>
      <c r="C167" s="175"/>
      <c r="D167" s="89" t="s">
        <v>154</v>
      </c>
      <c r="E167" s="90" t="str">
        <f>'[1]COMEDORES EMERGENTES'!$G$17</f>
        <v>Bº OJO DE AGUA C/DR.TEODULFO BARRIONUEVO S/Nº</v>
      </c>
    </row>
    <row r="168" spans="2:5" x14ac:dyDescent="0.2">
      <c r="B168" s="174" t="str">
        <f>'[1]COMEDORES EMERGENTES'!$B$18</f>
        <v>RENACER</v>
      </c>
      <c r="C168" s="175"/>
      <c r="D168" s="89" t="s">
        <v>157</v>
      </c>
      <c r="E168" s="90" t="str">
        <f>'[1]COMEDORES EMERGENTES'!$G$18</f>
        <v>Bº VIRGEN MORENITA</v>
      </c>
    </row>
    <row r="169" spans="2:5" x14ac:dyDescent="0.2">
      <c r="B169" s="174" t="str">
        <f>'[1]COMEDORES EMERGENTES'!$B$19</f>
        <v>CENTRO VECINAL MI JARDIN</v>
      </c>
      <c r="C169" s="175"/>
      <c r="D169" s="89" t="s">
        <v>158</v>
      </c>
      <c r="E169" s="90" t="str">
        <f>'[1]COMEDORES EMERGENTES'!$G$19</f>
        <v>C/ LOS TULIPANES ENTRE FLOR DE CEREZO Y HOLANDA MZA.27 Bº MI JARDIN</v>
      </c>
    </row>
    <row r="170" spans="2:5" x14ac:dyDescent="0.2">
      <c r="B170" s="174" t="str">
        <f>'[1]COMEDORES EMERGENTES'!$B$20</f>
        <v>LA VIEJA ESQUINA</v>
      </c>
      <c r="C170" s="175"/>
      <c r="D170" s="89" t="s">
        <v>159</v>
      </c>
      <c r="E170" s="90" t="str">
        <f>'[1]COMEDORES EMERGENTES'!$G$20</f>
        <v>B° CRISTO REY PJE CAPATAZ VILLAFAÑEZ Y ARMANDO CORREA</v>
      </c>
    </row>
    <row r="171" spans="2:5" x14ac:dyDescent="0.2">
      <c r="B171" s="174" t="str">
        <f>'[1]COMEDORES EMERGENTES'!$B$21</f>
        <v>GAUCHITO GIL</v>
      </c>
      <c r="C171" s="175"/>
      <c r="D171" s="89" t="s">
        <v>159</v>
      </c>
      <c r="E171" s="90" t="str">
        <f>'[1]COMEDORES EMERGENTES'!$G$21</f>
        <v>B° 26 VIVIENDAS CASA N° 3</v>
      </c>
    </row>
    <row r="172" spans="2:5" ht="13.5" thickBot="1" x14ac:dyDescent="0.25">
      <c r="B172" s="191" t="str">
        <f>'[1]COMEDORES EMERGENTES'!$B$22</f>
        <v>LOS TOLDOS</v>
      </c>
      <c r="C172" s="192"/>
      <c r="D172" s="96" t="s">
        <v>164</v>
      </c>
      <c r="E172" s="97" t="str">
        <f>'[1]COMEDORES EMERGENTES'!$G$22</f>
        <v>LOTEO PARQUE SUR CALLE S/NOMBRE S/N°</v>
      </c>
    </row>
    <row r="173" spans="2:5" x14ac:dyDescent="0.2">
      <c r="B173" s="14" t="s">
        <v>18</v>
      </c>
      <c r="C173" s="12"/>
      <c r="D173" s="53"/>
      <c r="E173" s="13"/>
    </row>
    <row r="174" spans="2:5" ht="12.75" customHeight="1" x14ac:dyDescent="0.2">
      <c r="B174" s="15"/>
      <c r="C174" s="190" t="s">
        <v>24</v>
      </c>
      <c r="D174" s="190"/>
      <c r="E174" s="190"/>
    </row>
    <row r="175" spans="2:5" x14ac:dyDescent="0.2">
      <c r="B175" s="14" t="s">
        <v>19</v>
      </c>
      <c r="C175" s="16"/>
      <c r="D175" s="16"/>
      <c r="E175" s="17"/>
    </row>
    <row r="176" spans="2:5" ht="14.25" customHeight="1" x14ac:dyDescent="0.2">
      <c r="B176" s="15"/>
      <c r="C176" s="190" t="s">
        <v>101</v>
      </c>
      <c r="D176" s="190"/>
      <c r="E176" s="190"/>
    </row>
    <row r="177" spans="2:5" x14ac:dyDescent="0.2">
      <c r="B177" s="14" t="s">
        <v>20</v>
      </c>
      <c r="C177" s="12"/>
      <c r="D177" s="53"/>
      <c r="E177" s="13"/>
    </row>
    <row r="178" spans="2:5" ht="11.25" customHeight="1" x14ac:dyDescent="0.2">
      <c r="B178" s="14"/>
      <c r="C178" s="189" t="s">
        <v>25</v>
      </c>
      <c r="D178" s="189"/>
      <c r="E178" s="189"/>
    </row>
    <row r="179" spans="2:5" ht="13.5" thickBot="1" x14ac:dyDescent="0.25">
      <c r="B179" s="18"/>
      <c r="C179" s="19"/>
      <c r="D179" s="54"/>
      <c r="E179" s="20"/>
    </row>
    <row r="180" spans="2:5" ht="13.5" thickBot="1" x14ac:dyDescent="0.25"/>
    <row r="181" spans="2:5" x14ac:dyDescent="0.2">
      <c r="B181" s="8" t="s">
        <v>103</v>
      </c>
      <c r="C181" s="9"/>
      <c r="D181" s="52"/>
      <c r="E181" s="10"/>
    </row>
    <row r="182" spans="2:5" ht="5.25" customHeight="1" x14ac:dyDescent="0.2">
      <c r="B182" s="11"/>
      <c r="C182" s="12"/>
      <c r="D182" s="53"/>
      <c r="E182" s="13"/>
    </row>
    <row r="183" spans="2:5" x14ac:dyDescent="0.2">
      <c r="B183" s="14" t="s">
        <v>16</v>
      </c>
      <c r="C183" s="12"/>
      <c r="D183" s="53"/>
      <c r="E183" s="13"/>
    </row>
    <row r="184" spans="2:5" ht="25.5" customHeight="1" x14ac:dyDescent="0.2">
      <c r="B184" s="14"/>
      <c r="C184" s="190"/>
      <c r="D184" s="190"/>
      <c r="E184" s="190"/>
    </row>
    <row r="185" spans="2:5" ht="13.5" thickBot="1" x14ac:dyDescent="0.25">
      <c r="B185" s="14" t="s">
        <v>17</v>
      </c>
      <c r="C185" s="12"/>
      <c r="D185" s="53"/>
      <c r="E185" s="13"/>
    </row>
    <row r="186" spans="2:5" ht="13.5" thickBot="1" x14ac:dyDescent="0.25">
      <c r="B186" s="176" t="s">
        <v>98</v>
      </c>
      <c r="C186" s="177"/>
      <c r="D186" s="177"/>
      <c r="E186" s="178"/>
    </row>
    <row r="187" spans="2:5" ht="13.5" thickBot="1" x14ac:dyDescent="0.25">
      <c r="B187" s="176" t="s">
        <v>99</v>
      </c>
      <c r="C187" s="178"/>
      <c r="D187" s="50" t="s">
        <v>11</v>
      </c>
      <c r="E187" s="50" t="s">
        <v>100</v>
      </c>
    </row>
    <row r="188" spans="2:5" x14ac:dyDescent="0.2">
      <c r="B188" s="183" t="str">
        <f>'[1]COMEDORES EMERGENTES'!$B$3</f>
        <v>UNA SONRISA AV. LOS COBACHO</v>
      </c>
      <c r="C188" s="184"/>
      <c r="D188" s="94" t="s">
        <v>144</v>
      </c>
      <c r="E188" s="95" t="str">
        <f>'[1]COMEDORES EMERGENTES'!$G$3</f>
        <v>Bº SAN CARLOS OESTE AV. Bonifacio cobacho 670</v>
      </c>
    </row>
    <row r="189" spans="2:5" x14ac:dyDescent="0.2">
      <c r="B189" s="174" t="str">
        <f>'[1]COMEDORES EMERGENTES'!$B$4</f>
        <v>C.I.F Nº1 - RIVERA DEL VALLE Y FLORIDA</v>
      </c>
      <c r="C189" s="175"/>
      <c r="D189" s="89" t="s">
        <v>160</v>
      </c>
      <c r="E189" s="90" t="str">
        <f>'[1]COMEDORES EMERGENTES'!$G$4</f>
        <v>AV. RIVIERA DEL VALLE ENTRE FLORIDA Y SANTA FE</v>
      </c>
    </row>
    <row r="190" spans="2:5" x14ac:dyDescent="0.2">
      <c r="B190" s="174" t="str">
        <f>'[1]COMEDORES EMERGENTES'!$B$5</f>
        <v>C.I.F - RIVERA DEL VALLE - DILORENZO</v>
      </c>
      <c r="C190" s="175"/>
      <c r="D190" s="89" t="s">
        <v>129</v>
      </c>
      <c r="E190" s="90" t="str">
        <f>'[1]COMEDORES EMERGENTES'!$G$5</f>
        <v>Bº RIVERA DEL VALLE ENTRE VILLA EUMELIA Y MONTE CRISTO</v>
      </c>
    </row>
    <row r="191" spans="2:5" x14ac:dyDescent="0.2">
      <c r="B191" s="174" t="str">
        <f>'[1]COMEDORES EMERGENTES'!$B$6</f>
        <v>ESFUERZO PROPIO- Bº ALTOS DE CHOYA</v>
      </c>
      <c r="C191" s="175"/>
      <c r="D191" s="89" t="s">
        <v>135</v>
      </c>
      <c r="E191" s="90" t="str">
        <f>'[1]COMEDORES EMERGENTES'!$G$6</f>
        <v>Bº MUNICIPAL 35VV. NORTE C/14</v>
      </c>
    </row>
    <row r="192" spans="2:5" x14ac:dyDescent="0.2">
      <c r="B192" s="174" t="str">
        <f>'[1]COMEDORES EMERGENTES'!$B$7</f>
        <v>ANGELITOS - LOTEO SUSSEX</v>
      </c>
      <c r="C192" s="175"/>
      <c r="D192" s="89" t="s">
        <v>161</v>
      </c>
      <c r="E192" s="90" t="str">
        <f>'[1]COMEDORES EMERGENTES'!$G$7</f>
        <v>Bº LOTEO SUSEX MZA.Nº 4 LOTE Nº3</v>
      </c>
    </row>
    <row r="193" spans="2:5" x14ac:dyDescent="0.2">
      <c r="B193" s="174" t="str">
        <f>'[1]COMEDORES EMERGENTES'!$B$8</f>
        <v>CLUB DEPORTIVO CHACARITA</v>
      </c>
      <c r="C193" s="175"/>
      <c r="D193" s="89" t="s">
        <v>162</v>
      </c>
      <c r="E193" s="90" t="str">
        <f>'[1]COMEDORES EMERGENTES'!$G$8</f>
        <v>CALLE DR.DERMIDIO GALINDEZ C/2660</v>
      </c>
    </row>
    <row r="194" spans="2:5" x14ac:dyDescent="0.2">
      <c r="B194" s="174" t="str">
        <f>'[1]COMEDORES EMERGENTES'!$B$9</f>
        <v>LA MORO</v>
      </c>
      <c r="C194" s="175"/>
      <c r="D194" s="89" t="s">
        <v>143</v>
      </c>
      <c r="E194" s="90" t="str">
        <f>'[1]COMEDORES EMERGENTES'!$G$9</f>
        <v>MAIPU NORTE 1º ETAPA MZA "H" Bº MI JARDIN</v>
      </c>
    </row>
    <row r="195" spans="2:5" x14ac:dyDescent="0.2">
      <c r="B195" s="174" t="str">
        <f>'[1]COMEDORES EMERGENTES'!$B$10</f>
        <v>PAPA FRANCISCO</v>
      </c>
      <c r="C195" s="175"/>
      <c r="D195" s="89" t="s">
        <v>130</v>
      </c>
      <c r="E195" s="90" t="str">
        <f>'[1]COMEDORES EMERGENTES'!$G$10</f>
        <v>ENTRE AV.TEREBINTO Y AV.SAN JUAN LOTE "2" MZA. "B"</v>
      </c>
    </row>
    <row r="196" spans="2:5" x14ac:dyDescent="0.2">
      <c r="B196" s="174" t="str">
        <f>'[1]COMEDORES EMERGENTES'!$B$11</f>
        <v>E.P.C - 100 V.V NORTE</v>
      </c>
      <c r="C196" s="175"/>
      <c r="D196" s="89" t="s">
        <v>140</v>
      </c>
      <c r="E196" s="90" t="str">
        <f>'[1]COMEDORES EMERGENTES'!$G$11</f>
        <v>Bº VV NORTE C/48 ENTRE ESPAÑA Y FRANCIA</v>
      </c>
    </row>
    <row r="197" spans="2:5" x14ac:dyDescent="0.2">
      <c r="B197" s="174" t="str">
        <f>'[1]COMEDORES EMERGENTES'!$B$12</f>
        <v>HOGAR DE CRISTO - PADRE RAUL CONTRERAS</v>
      </c>
      <c r="C197" s="175"/>
      <c r="D197" s="89" t="s">
        <v>140</v>
      </c>
      <c r="E197" s="90" t="str">
        <f>'[1]COMEDORES EMERGENTES'!$G$12</f>
        <v>Bº SANTA MARTA MZA. "S" LOTE "M" C/39</v>
      </c>
    </row>
    <row r="198" spans="2:5" x14ac:dyDescent="0.2">
      <c r="B198" s="174" t="str">
        <f>'[1]COMEDORES EMERGENTES'!$B$13</f>
        <v>LA LUCIERNAGA</v>
      </c>
      <c r="C198" s="175"/>
      <c r="D198" s="89" t="s">
        <v>130</v>
      </c>
      <c r="E198" s="90" t="str">
        <f>'[1]COMEDORES EMERGENTES'!$G$13</f>
        <v>Bº 20 V.V NORTE C/3</v>
      </c>
    </row>
    <row r="199" spans="2:5" x14ac:dyDescent="0.2">
      <c r="B199" s="174" t="str">
        <f>'[1]COMEDORES EMERGENTES'!$B$14</f>
        <v>VALLE VIEJO - SUMALAO</v>
      </c>
      <c r="C199" s="175"/>
      <c r="D199" s="89" t="s">
        <v>150</v>
      </c>
      <c r="E199" s="90" t="str">
        <f>'[1]COMEDORES EMERGENTES'!$G$14</f>
        <v>PADRE SEGURA S/N</v>
      </c>
    </row>
    <row r="200" spans="2:5" x14ac:dyDescent="0.2">
      <c r="B200" s="174" t="str">
        <f>'[1]COMEDORES EMERGENTES'!$B$15</f>
        <v>NUESTRO FUTURO - LAS VIAS</v>
      </c>
      <c r="C200" s="175"/>
      <c r="D200" s="89" t="s">
        <v>130</v>
      </c>
      <c r="E200" s="90" t="str">
        <f>'[1]COMEDORES EMERGENTES'!$G$15</f>
        <v>Bº LAS VIAS OESTE LOTE 42</v>
      </c>
    </row>
    <row r="201" spans="2:5" x14ac:dyDescent="0.2">
      <c r="B201" s="174" t="str">
        <f>'[1]COMEDORES EMERGENTES'!$B$16</f>
        <v>SAN JOSE OBRERO</v>
      </c>
      <c r="C201" s="175"/>
      <c r="D201" s="89" t="s">
        <v>162</v>
      </c>
      <c r="E201" s="90" t="str">
        <f>'[1]COMEDORES EMERGENTES'!$G$16</f>
        <v>Bº SAN JOSE OBRERO. PJE. SANDOVAL S/Nº</v>
      </c>
    </row>
    <row r="202" spans="2:5" x14ac:dyDescent="0.2">
      <c r="B202" s="174" t="str">
        <f>'[1]COMEDORES EMERGENTES'!$B$17</f>
        <v>VIRGEN DE LUJAN</v>
      </c>
      <c r="C202" s="175"/>
      <c r="D202" s="89" t="s">
        <v>130</v>
      </c>
      <c r="E202" s="90" t="str">
        <f>'[1]COMEDORES EMERGENTES'!$G$17</f>
        <v>Bº OJO DE AGUA C/DR.TEODULFO BARRIONUEVO S/Nº</v>
      </c>
    </row>
    <row r="203" spans="2:5" x14ac:dyDescent="0.2">
      <c r="B203" s="174" t="str">
        <f>'[1]COMEDORES EMERGENTES'!$B$18</f>
        <v>RENACER</v>
      </c>
      <c r="C203" s="175"/>
      <c r="D203" s="89" t="s">
        <v>163</v>
      </c>
      <c r="E203" s="90" t="str">
        <f>'[1]COMEDORES EMERGENTES'!$G$18</f>
        <v>Bº VIRGEN MORENITA</v>
      </c>
    </row>
    <row r="204" spans="2:5" x14ac:dyDescent="0.2">
      <c r="B204" s="174" t="str">
        <f>'[1]COMEDORES EMERGENTES'!$B$19</f>
        <v>CENTRO VECINAL MI JARDIN</v>
      </c>
      <c r="C204" s="175"/>
      <c r="D204" s="89" t="s">
        <v>164</v>
      </c>
      <c r="E204" s="90" t="str">
        <f>'[1]COMEDORES EMERGENTES'!$G$19</f>
        <v>C/ LOS TULIPANES ENTRE FLOR DE CEREZO Y HOLANDA MZA.27 Bº MI JARDIN</v>
      </c>
    </row>
    <row r="205" spans="2:5" x14ac:dyDescent="0.2">
      <c r="B205" s="174" t="str">
        <f>'[1]COMEDORES EMERGENTES'!$B$20</f>
        <v>LA VIEJA ESQUINA</v>
      </c>
      <c r="C205" s="175"/>
      <c r="D205" s="89" t="s">
        <v>134</v>
      </c>
      <c r="E205" s="90" t="str">
        <f>'[1]COMEDORES EMERGENTES'!$G$20</f>
        <v>B° CRISTO REY PJE CAPATAZ VILLAFAÑEZ Y ARMANDO CORREA</v>
      </c>
    </row>
    <row r="206" spans="2:5" x14ac:dyDescent="0.2">
      <c r="B206" s="174" t="str">
        <f>'[1]COMEDORES EMERGENTES'!$B$21</f>
        <v>GAUCHITO GIL</v>
      </c>
      <c r="C206" s="175"/>
      <c r="D206" s="89" t="s">
        <v>134</v>
      </c>
      <c r="E206" s="90" t="str">
        <f>'[1]COMEDORES EMERGENTES'!$G$21</f>
        <v>B° 26 VIVIENDAS CASA N° 3</v>
      </c>
    </row>
    <row r="207" spans="2:5" ht="13.5" thickBot="1" x14ac:dyDescent="0.25">
      <c r="B207" s="191" t="str">
        <f>'[1]COMEDORES EMERGENTES'!$B$22</f>
        <v>LOS TOLDOS</v>
      </c>
      <c r="C207" s="192"/>
      <c r="D207" s="96" t="s">
        <v>244</v>
      </c>
      <c r="E207" s="97" t="str">
        <f>'[1]COMEDORES EMERGENTES'!$G$22</f>
        <v>LOTEO PARQUE SUR CALLE S/NOMBRE S/N°</v>
      </c>
    </row>
    <row r="208" spans="2:5" x14ac:dyDescent="0.2">
      <c r="B208" s="14" t="s">
        <v>18</v>
      </c>
      <c r="C208" s="12"/>
      <c r="D208" s="53"/>
      <c r="E208" s="13"/>
    </row>
    <row r="209" spans="2:5" ht="12.75" customHeight="1" x14ac:dyDescent="0.2">
      <c r="B209" s="15"/>
      <c r="C209" s="190" t="s">
        <v>24</v>
      </c>
      <c r="D209" s="190"/>
      <c r="E209" s="190"/>
    </row>
    <row r="210" spans="2:5" x14ac:dyDescent="0.2">
      <c r="B210" s="14" t="s">
        <v>19</v>
      </c>
      <c r="C210" s="16"/>
      <c r="D210" s="16"/>
      <c r="E210" s="17"/>
    </row>
    <row r="211" spans="2:5" ht="14.25" customHeight="1" x14ac:dyDescent="0.2">
      <c r="B211" s="15"/>
      <c r="C211" s="190" t="s">
        <v>101</v>
      </c>
      <c r="D211" s="190"/>
      <c r="E211" s="190"/>
    </row>
    <row r="212" spans="2:5" x14ac:dyDescent="0.2">
      <c r="B212" s="14" t="s">
        <v>20</v>
      </c>
      <c r="C212" s="12"/>
      <c r="D212" s="53"/>
      <c r="E212" s="13"/>
    </row>
    <row r="213" spans="2:5" ht="11.25" customHeight="1" x14ac:dyDescent="0.2">
      <c r="B213" s="14"/>
      <c r="C213" s="189" t="s">
        <v>25</v>
      </c>
      <c r="D213" s="189"/>
      <c r="E213" s="189"/>
    </row>
    <row r="214" spans="2:5" ht="13.5" thickBot="1" x14ac:dyDescent="0.25">
      <c r="B214" s="18"/>
      <c r="C214" s="19"/>
      <c r="D214" s="54"/>
      <c r="E214" s="20"/>
    </row>
    <row r="215" spans="2:5" ht="13.5" thickBot="1" x14ac:dyDescent="0.25"/>
    <row r="216" spans="2:5" x14ac:dyDescent="0.2">
      <c r="B216" s="8" t="s">
        <v>104</v>
      </c>
      <c r="C216" s="9"/>
      <c r="D216" s="52"/>
      <c r="E216" s="10"/>
    </row>
    <row r="217" spans="2:5" ht="5.25" customHeight="1" x14ac:dyDescent="0.2">
      <c r="B217" s="11"/>
      <c r="C217" s="12"/>
      <c r="D217" s="53"/>
      <c r="E217" s="13"/>
    </row>
    <row r="218" spans="2:5" x14ac:dyDescent="0.2">
      <c r="B218" s="14" t="s">
        <v>16</v>
      </c>
      <c r="C218" s="12"/>
      <c r="D218" s="53"/>
      <c r="E218" s="13"/>
    </row>
    <row r="219" spans="2:5" ht="25.5" customHeight="1" x14ac:dyDescent="0.2">
      <c r="B219" s="14"/>
      <c r="C219" s="190"/>
      <c r="D219" s="190"/>
      <c r="E219" s="190"/>
    </row>
    <row r="220" spans="2:5" ht="13.5" thickBot="1" x14ac:dyDescent="0.25">
      <c r="B220" s="14" t="s">
        <v>17</v>
      </c>
      <c r="C220" s="12"/>
      <c r="D220" s="53"/>
      <c r="E220" s="13"/>
    </row>
    <row r="221" spans="2:5" ht="13.5" thickBot="1" x14ac:dyDescent="0.25">
      <c r="B221" s="176" t="s">
        <v>98</v>
      </c>
      <c r="C221" s="177"/>
      <c r="D221" s="177"/>
      <c r="E221" s="178"/>
    </row>
    <row r="222" spans="2:5" ht="13.5" thickBot="1" x14ac:dyDescent="0.25">
      <c r="B222" s="176" t="s">
        <v>99</v>
      </c>
      <c r="C222" s="178"/>
      <c r="D222" s="50" t="s">
        <v>11</v>
      </c>
      <c r="E222" s="50" t="s">
        <v>100</v>
      </c>
    </row>
    <row r="223" spans="2:5" x14ac:dyDescent="0.2">
      <c r="B223" s="183" t="str">
        <f>'[1]COMEDORES EMERGENTES'!$B$3</f>
        <v>UNA SONRISA AV. LOS COBACHO</v>
      </c>
      <c r="C223" s="184"/>
      <c r="D223" s="94">
        <v>43</v>
      </c>
      <c r="E223" s="95" t="str">
        <f>'[1]COMEDORES EMERGENTES'!$G$3</f>
        <v>Bº SAN CARLOS OESTE AV. Bonifacio cobacho 670</v>
      </c>
    </row>
    <row r="224" spans="2:5" x14ac:dyDescent="0.2">
      <c r="B224" s="174" t="str">
        <f>'[1]COMEDORES EMERGENTES'!$B$4</f>
        <v>C.I.F Nº1 - RIVERA DEL VALLE Y FLORIDA</v>
      </c>
      <c r="C224" s="175"/>
      <c r="D224" s="89">
        <v>62</v>
      </c>
      <c r="E224" s="90" t="str">
        <f>'[1]COMEDORES EMERGENTES'!$G$4</f>
        <v>AV. RIVIERA DEL VALLE ENTRE FLORIDA Y SANTA FE</v>
      </c>
    </row>
    <row r="225" spans="2:5" x14ac:dyDescent="0.2">
      <c r="B225" s="174" t="str">
        <f>'[1]COMEDORES EMERGENTES'!$B$5</f>
        <v>C.I.F - RIVERA DEL VALLE - DILORENZO</v>
      </c>
      <c r="C225" s="175"/>
      <c r="D225" s="89">
        <v>73</v>
      </c>
      <c r="E225" s="90" t="str">
        <f>'[1]COMEDORES EMERGENTES'!$G$5</f>
        <v>Bº RIVERA DEL VALLE ENTRE VILLA EUMELIA Y MONTE CRISTO</v>
      </c>
    </row>
    <row r="226" spans="2:5" x14ac:dyDescent="0.2">
      <c r="B226" s="174" t="str">
        <f>'[1]COMEDORES EMERGENTES'!$B$6</f>
        <v>ESFUERZO PROPIO- Bº ALTOS DE CHOYA</v>
      </c>
      <c r="C226" s="175"/>
      <c r="D226" s="89">
        <v>59</v>
      </c>
      <c r="E226" s="90" t="str">
        <f>'[1]COMEDORES EMERGENTES'!$G$6</f>
        <v>Bº MUNICIPAL 35VV. NORTE C/14</v>
      </c>
    </row>
    <row r="227" spans="2:5" x14ac:dyDescent="0.2">
      <c r="B227" s="174" t="str">
        <f>'[1]COMEDORES EMERGENTES'!$B$7</f>
        <v>ANGELITOS - LOTEO SUSSEX</v>
      </c>
      <c r="C227" s="175"/>
      <c r="D227" s="89">
        <v>27</v>
      </c>
      <c r="E227" s="90" t="str">
        <f>'[1]COMEDORES EMERGENTES'!$G$7</f>
        <v>Bº LOTEO SUSEX MZA.Nº 4 LOTE Nº3</v>
      </c>
    </row>
    <row r="228" spans="2:5" x14ac:dyDescent="0.2">
      <c r="B228" s="174" t="str">
        <f>'[1]COMEDORES EMERGENTES'!$B$8</f>
        <v>CLUB DEPORTIVO CHACARITA</v>
      </c>
      <c r="C228" s="175"/>
      <c r="D228" s="89">
        <v>35</v>
      </c>
      <c r="E228" s="90" t="str">
        <f>'[1]COMEDORES EMERGENTES'!$G$8</f>
        <v>CALLE DR.DERMIDIO GALINDEZ C/2660</v>
      </c>
    </row>
    <row r="229" spans="2:5" x14ac:dyDescent="0.2">
      <c r="B229" s="174" t="str">
        <f>'[1]COMEDORES EMERGENTES'!$B$9</f>
        <v>LA MORO</v>
      </c>
      <c r="C229" s="175"/>
      <c r="D229" s="89">
        <v>32</v>
      </c>
      <c r="E229" s="90" t="str">
        <f>'[1]COMEDORES EMERGENTES'!$G$9</f>
        <v>MAIPU NORTE 1º ETAPA MZA "H" Bº MI JARDIN</v>
      </c>
    </row>
    <row r="230" spans="2:5" x14ac:dyDescent="0.2">
      <c r="B230" s="174" t="str">
        <f>'[1]COMEDORES EMERGENTES'!$B$10</f>
        <v>PAPA FRANCISCO</v>
      </c>
      <c r="C230" s="175"/>
      <c r="D230" s="89">
        <v>54</v>
      </c>
      <c r="E230" s="90" t="str">
        <f>'[1]COMEDORES EMERGENTES'!$G$10</f>
        <v>ENTRE AV.TEREBINTO Y AV.SAN JUAN LOTE "2" MZA. "B"</v>
      </c>
    </row>
    <row r="231" spans="2:5" x14ac:dyDescent="0.2">
      <c r="B231" s="174" t="str">
        <f>'[1]COMEDORES EMERGENTES'!$B$11</f>
        <v>E.P.C - 100 V.V NORTE</v>
      </c>
      <c r="C231" s="175"/>
      <c r="D231" s="89">
        <v>81</v>
      </c>
      <c r="E231" s="90" t="str">
        <f>'[1]COMEDORES EMERGENTES'!$G$11</f>
        <v>Bº VV NORTE C/48 ENTRE ESPAÑA Y FRANCIA</v>
      </c>
    </row>
    <row r="232" spans="2:5" x14ac:dyDescent="0.2">
      <c r="B232" s="174" t="str">
        <f>'[1]COMEDORES EMERGENTES'!$B$12</f>
        <v>HOGAR DE CRISTO - PADRE RAUL CONTRERAS</v>
      </c>
      <c r="C232" s="175"/>
      <c r="D232" s="89">
        <v>81</v>
      </c>
      <c r="E232" s="90" t="str">
        <f>'[1]COMEDORES EMERGENTES'!$G$12</f>
        <v>Bº SANTA MARTA MZA. "S" LOTE "M" C/39</v>
      </c>
    </row>
    <row r="233" spans="2:5" x14ac:dyDescent="0.2">
      <c r="B233" s="174" t="str">
        <f>'[1]COMEDORES EMERGENTES'!$B$13</f>
        <v>LA LUCIERNAGA</v>
      </c>
      <c r="C233" s="175"/>
      <c r="D233" s="89">
        <v>54</v>
      </c>
      <c r="E233" s="90" t="str">
        <f>'[1]COMEDORES EMERGENTES'!$G$13</f>
        <v>Bº 20 V.V NORTE C/3</v>
      </c>
    </row>
    <row r="234" spans="2:5" x14ac:dyDescent="0.2">
      <c r="B234" s="174" t="str">
        <f>'[1]COMEDORES EMERGENTES'!$B$14</f>
        <v>VALLE VIEJO - SUMALAO</v>
      </c>
      <c r="C234" s="175"/>
      <c r="D234" s="89">
        <v>95</v>
      </c>
      <c r="E234" s="90" t="str">
        <f>'[1]COMEDORES EMERGENTES'!$G$14</f>
        <v>PADRE SEGURA S/N</v>
      </c>
    </row>
    <row r="235" spans="2:5" x14ac:dyDescent="0.2">
      <c r="B235" s="174" t="str">
        <f>'[1]COMEDORES EMERGENTES'!$B$15</f>
        <v>NUESTRO FUTURO - LAS VIAS</v>
      </c>
      <c r="C235" s="175"/>
      <c r="D235" s="89">
        <v>54</v>
      </c>
      <c r="E235" s="90" t="str">
        <f>'[1]COMEDORES EMERGENTES'!$G$15</f>
        <v>Bº LAS VIAS OESTE LOTE 42</v>
      </c>
    </row>
    <row r="236" spans="2:5" x14ac:dyDescent="0.2">
      <c r="B236" s="174" t="str">
        <f>'[1]COMEDORES EMERGENTES'!$B$16</f>
        <v>SAN JOSE OBRERO</v>
      </c>
      <c r="C236" s="175"/>
      <c r="D236" s="89">
        <v>35</v>
      </c>
      <c r="E236" s="90" t="str">
        <f>'[1]COMEDORES EMERGENTES'!$G$16</f>
        <v>Bº SAN JOSE OBRERO. PJE. SANDOVAL S/Nº</v>
      </c>
    </row>
    <row r="237" spans="2:5" x14ac:dyDescent="0.2">
      <c r="B237" s="174" t="str">
        <f>'[1]COMEDORES EMERGENTES'!$B$17</f>
        <v>VIRGEN DE LUJAN</v>
      </c>
      <c r="C237" s="175"/>
      <c r="D237" s="89">
        <v>54</v>
      </c>
      <c r="E237" s="90" t="str">
        <f>'[1]COMEDORES EMERGENTES'!$G$17</f>
        <v>Bº OJO DE AGUA C/DR.TEODULFO BARRIONUEVO S/Nº</v>
      </c>
    </row>
    <row r="238" spans="2:5" x14ac:dyDescent="0.2">
      <c r="B238" s="174" t="str">
        <f>'[1]COMEDORES EMERGENTES'!$B$18</f>
        <v>RENACER</v>
      </c>
      <c r="C238" s="175"/>
      <c r="D238" s="89">
        <v>68</v>
      </c>
      <c r="E238" s="90" t="str">
        <f>'[1]COMEDORES EMERGENTES'!$G$18</f>
        <v>Bº VIRGEN MORENITA</v>
      </c>
    </row>
    <row r="239" spans="2:5" x14ac:dyDescent="0.2">
      <c r="B239" s="174" t="str">
        <f>'[1]COMEDORES EMERGENTES'!$B$19</f>
        <v>CENTRO VECINAL MI JARDIN</v>
      </c>
      <c r="C239" s="175"/>
      <c r="D239" s="89">
        <v>49</v>
      </c>
      <c r="E239" s="90" t="str">
        <f>'[1]COMEDORES EMERGENTES'!$G$19</f>
        <v>C/ LOS TULIPANES ENTRE FLOR DE CEREZO Y HOLANDA MZA.27 Bº MI JARDIN</v>
      </c>
    </row>
    <row r="240" spans="2:5" x14ac:dyDescent="0.2">
      <c r="B240" s="174" t="str">
        <f>'[1]COMEDORES EMERGENTES'!$B$20</f>
        <v>LA VIEJA ESQUINA</v>
      </c>
      <c r="C240" s="175"/>
      <c r="D240" s="89">
        <v>46</v>
      </c>
      <c r="E240" s="90" t="str">
        <f>'[1]COMEDORES EMERGENTES'!$G$20</f>
        <v>B° CRISTO REY PJE CAPATAZ VILLAFAÑEZ Y ARMANDO CORREA</v>
      </c>
    </row>
    <row r="241" spans="2:5" x14ac:dyDescent="0.2">
      <c r="B241" s="174" t="str">
        <f>'[1]COMEDORES EMERGENTES'!$B$21</f>
        <v>GAUCHITO GIL</v>
      </c>
      <c r="C241" s="175"/>
      <c r="D241" s="89">
        <v>45</v>
      </c>
      <c r="E241" s="90" t="str">
        <f>'[1]COMEDORES EMERGENTES'!$G$21</f>
        <v>B° 26 VIVIENDAS CASA N° 3</v>
      </c>
    </row>
    <row r="242" spans="2:5" ht="13.5" thickBot="1" x14ac:dyDescent="0.25">
      <c r="B242" s="191" t="str">
        <f>'[1]COMEDORES EMERGENTES'!$B$22</f>
        <v>LOS TOLDOS</v>
      </c>
      <c r="C242" s="192"/>
      <c r="D242" s="96">
        <v>22</v>
      </c>
      <c r="E242" s="97" t="str">
        <f>'[1]COMEDORES EMERGENTES'!$G$22</f>
        <v>LOTEO PARQUE SUR CALLE S/NOMBRE S/N°</v>
      </c>
    </row>
    <row r="243" spans="2:5" x14ac:dyDescent="0.2">
      <c r="B243" s="14" t="s">
        <v>18</v>
      </c>
      <c r="C243" s="12"/>
      <c r="D243" s="53"/>
      <c r="E243" s="13"/>
    </row>
    <row r="244" spans="2:5" ht="12.75" customHeight="1" x14ac:dyDescent="0.2">
      <c r="B244" s="15"/>
      <c r="C244" s="190" t="s">
        <v>24</v>
      </c>
      <c r="D244" s="190"/>
      <c r="E244" s="190"/>
    </row>
    <row r="245" spans="2:5" x14ac:dyDescent="0.2">
      <c r="B245" s="14" t="s">
        <v>19</v>
      </c>
      <c r="C245" s="16"/>
      <c r="D245" s="16"/>
      <c r="E245" s="17"/>
    </row>
    <row r="246" spans="2:5" ht="14.25" customHeight="1" x14ac:dyDescent="0.2">
      <c r="B246" s="15"/>
      <c r="C246" s="190" t="s">
        <v>101</v>
      </c>
      <c r="D246" s="190"/>
      <c r="E246" s="190"/>
    </row>
    <row r="247" spans="2:5" x14ac:dyDescent="0.2">
      <c r="B247" s="14" t="s">
        <v>20</v>
      </c>
      <c r="C247" s="12"/>
      <c r="D247" s="53"/>
      <c r="E247" s="13"/>
    </row>
    <row r="248" spans="2:5" ht="11.25" customHeight="1" x14ac:dyDescent="0.2">
      <c r="B248" s="14"/>
      <c r="C248" s="189" t="s">
        <v>25</v>
      </c>
      <c r="D248" s="189"/>
      <c r="E248" s="189"/>
    </row>
    <row r="249" spans="2:5" ht="13.5" thickBot="1" x14ac:dyDescent="0.25">
      <c r="B249" s="18"/>
      <c r="C249" s="19"/>
      <c r="D249" s="54"/>
      <c r="E249" s="20"/>
    </row>
    <row r="250" spans="2:5" ht="13.5" thickBot="1" x14ac:dyDescent="0.25"/>
    <row r="251" spans="2:5" x14ac:dyDescent="0.2">
      <c r="B251" s="8" t="s">
        <v>105</v>
      </c>
      <c r="C251" s="9"/>
      <c r="D251" s="52"/>
      <c r="E251" s="10"/>
    </row>
    <row r="252" spans="2:5" ht="5.25" customHeight="1" x14ac:dyDescent="0.2">
      <c r="B252" s="11"/>
      <c r="C252" s="12"/>
      <c r="D252" s="53"/>
      <c r="E252" s="13"/>
    </row>
    <row r="253" spans="2:5" x14ac:dyDescent="0.2">
      <c r="B253" s="14" t="s">
        <v>16</v>
      </c>
      <c r="C253" s="12"/>
      <c r="D253" s="53"/>
      <c r="E253" s="13"/>
    </row>
    <row r="254" spans="2:5" ht="25.5" customHeight="1" x14ac:dyDescent="0.2">
      <c r="B254" s="14"/>
      <c r="C254" s="190"/>
      <c r="D254" s="190"/>
      <c r="E254" s="190"/>
    </row>
    <row r="255" spans="2:5" ht="13.5" thickBot="1" x14ac:dyDescent="0.25">
      <c r="B255" s="14" t="s">
        <v>17</v>
      </c>
      <c r="C255" s="12"/>
      <c r="D255" s="53"/>
      <c r="E255" s="13"/>
    </row>
    <row r="256" spans="2:5" ht="13.5" thickBot="1" x14ac:dyDescent="0.25">
      <c r="B256" s="176" t="s">
        <v>98</v>
      </c>
      <c r="C256" s="177"/>
      <c r="D256" s="177"/>
      <c r="E256" s="178"/>
    </row>
    <row r="257" spans="2:5" ht="13.5" thickBot="1" x14ac:dyDescent="0.25">
      <c r="B257" s="176" t="s">
        <v>99</v>
      </c>
      <c r="C257" s="178"/>
      <c r="D257" s="50" t="s">
        <v>11</v>
      </c>
      <c r="E257" s="50" t="s">
        <v>100</v>
      </c>
    </row>
    <row r="258" spans="2:5" x14ac:dyDescent="0.2">
      <c r="B258" s="183" t="str">
        <f>'[1]COMEDORES EMERGENTES'!$B$3</f>
        <v>UNA SONRISA AV. LOS COBACHO</v>
      </c>
      <c r="C258" s="184"/>
      <c r="D258" s="94">
        <v>29</v>
      </c>
      <c r="E258" s="95" t="str">
        <f>'[1]COMEDORES EMERGENTES'!$G$3</f>
        <v>Bº SAN CARLOS OESTE AV. Bonifacio cobacho 670</v>
      </c>
    </row>
    <row r="259" spans="2:5" x14ac:dyDescent="0.2">
      <c r="B259" s="174" t="str">
        <f>'[1]COMEDORES EMERGENTES'!$B$4</f>
        <v>C.I.F Nº1 - RIVERA DEL VALLE Y FLORIDA</v>
      </c>
      <c r="C259" s="175"/>
      <c r="D259" s="89">
        <v>41</v>
      </c>
      <c r="E259" s="90" t="str">
        <f>'[1]COMEDORES EMERGENTES'!$G$4</f>
        <v>AV. RIVIERA DEL VALLE ENTRE FLORIDA Y SANTA FE</v>
      </c>
    </row>
    <row r="260" spans="2:5" x14ac:dyDescent="0.2">
      <c r="B260" s="174" t="str">
        <f>'[1]COMEDORES EMERGENTES'!$B$5</f>
        <v>C.I.F - RIVERA DEL VALLE - DILORENZO</v>
      </c>
      <c r="C260" s="175"/>
      <c r="D260" s="89">
        <v>49</v>
      </c>
      <c r="E260" s="90" t="str">
        <f>'[1]COMEDORES EMERGENTES'!$G$5</f>
        <v>Bº RIVERA DEL VALLE ENTRE VILLA EUMELIA Y MONTE CRISTO</v>
      </c>
    </row>
    <row r="261" spans="2:5" x14ac:dyDescent="0.2">
      <c r="B261" s="174" t="str">
        <f>'[1]COMEDORES EMERGENTES'!$B$6</f>
        <v>ESFUERZO PROPIO- Bº ALTOS DE CHOYA</v>
      </c>
      <c r="C261" s="175"/>
      <c r="D261" s="89">
        <v>40</v>
      </c>
      <c r="E261" s="90" t="str">
        <f>'[1]COMEDORES EMERGENTES'!$G$6</f>
        <v>Bº MUNICIPAL 35VV. NORTE C/14</v>
      </c>
    </row>
    <row r="262" spans="2:5" x14ac:dyDescent="0.2">
      <c r="B262" s="174" t="str">
        <f>'[1]COMEDORES EMERGENTES'!$B$7</f>
        <v>ANGELITOS - LOTEO SUSSEX</v>
      </c>
      <c r="C262" s="175"/>
      <c r="D262" s="89">
        <v>18</v>
      </c>
      <c r="E262" s="90" t="str">
        <f>'[1]COMEDORES EMERGENTES'!$G$7</f>
        <v>Bº LOTEO SUSEX MZA.Nº 4 LOTE Nº3</v>
      </c>
    </row>
    <row r="263" spans="2:5" x14ac:dyDescent="0.2">
      <c r="B263" s="174" t="str">
        <f>'[1]COMEDORES EMERGENTES'!$B$8</f>
        <v>CLUB DEPORTIVO CHACARITA</v>
      </c>
      <c r="C263" s="175"/>
      <c r="D263" s="89">
        <v>23</v>
      </c>
      <c r="E263" s="90" t="str">
        <f>'[1]COMEDORES EMERGENTES'!$G$8</f>
        <v>CALLE DR.DERMIDIO GALINDEZ C/2660</v>
      </c>
    </row>
    <row r="264" spans="2:5" x14ac:dyDescent="0.2">
      <c r="B264" s="174" t="str">
        <f>'[1]COMEDORES EMERGENTES'!$B$9</f>
        <v>LA MORO</v>
      </c>
      <c r="C264" s="175"/>
      <c r="D264" s="89">
        <v>22</v>
      </c>
      <c r="E264" s="90" t="str">
        <f>'[1]COMEDORES EMERGENTES'!$G$9</f>
        <v>MAIPU NORTE 1º ETAPA MZA "H" Bº MI JARDIN</v>
      </c>
    </row>
    <row r="265" spans="2:5" x14ac:dyDescent="0.2">
      <c r="B265" s="174" t="str">
        <f>'[1]COMEDORES EMERGENTES'!$B$10</f>
        <v>PAPA FRANCISCO</v>
      </c>
      <c r="C265" s="175"/>
      <c r="D265" s="89">
        <v>36</v>
      </c>
      <c r="E265" s="90" t="str">
        <f>'[1]COMEDORES EMERGENTES'!$G$10</f>
        <v>ENTRE AV.TEREBINTO Y AV.SAN JUAN LOTE "2" MZA. "B"</v>
      </c>
    </row>
    <row r="266" spans="2:5" x14ac:dyDescent="0.2">
      <c r="B266" s="174" t="str">
        <f>'[1]COMEDORES EMERGENTES'!$B$11</f>
        <v>E.P.C - 100 V.V NORTE</v>
      </c>
      <c r="C266" s="175"/>
      <c r="D266" s="89">
        <v>54</v>
      </c>
      <c r="E266" s="90" t="str">
        <f>'[1]COMEDORES EMERGENTES'!$G$11</f>
        <v>Bº VV NORTE C/48 ENTRE ESPAÑA Y FRANCIA</v>
      </c>
    </row>
    <row r="267" spans="2:5" x14ac:dyDescent="0.2">
      <c r="B267" s="174" t="str">
        <f>'[1]COMEDORES EMERGENTES'!$B$12</f>
        <v>HOGAR DE CRISTO - PADRE RAUL CONTRERAS</v>
      </c>
      <c r="C267" s="175"/>
      <c r="D267" s="89">
        <v>54</v>
      </c>
      <c r="E267" s="90" t="str">
        <f>'[1]COMEDORES EMERGENTES'!$G$12</f>
        <v>Bº SANTA MARTA MZA. "S" LOTE "M" C/39</v>
      </c>
    </row>
    <row r="268" spans="2:5" x14ac:dyDescent="0.2">
      <c r="B268" s="174" t="str">
        <f>'[1]COMEDORES EMERGENTES'!$B$13</f>
        <v>LA LUCIERNAGA</v>
      </c>
      <c r="C268" s="175"/>
      <c r="D268" s="89">
        <v>36</v>
      </c>
      <c r="E268" s="90" t="str">
        <f>'[1]COMEDORES EMERGENTES'!$G$13</f>
        <v>Bº 20 V.V NORTE C/3</v>
      </c>
    </row>
    <row r="269" spans="2:5" x14ac:dyDescent="0.2">
      <c r="B269" s="174" t="str">
        <f>'[1]COMEDORES EMERGENTES'!$B$14</f>
        <v>VALLE VIEJO - SUMALAO</v>
      </c>
      <c r="C269" s="175"/>
      <c r="D269" s="89">
        <v>63</v>
      </c>
      <c r="E269" s="90" t="str">
        <f>'[1]COMEDORES EMERGENTES'!$G$14</f>
        <v>PADRE SEGURA S/N</v>
      </c>
    </row>
    <row r="270" spans="2:5" x14ac:dyDescent="0.2">
      <c r="B270" s="174" t="str">
        <f>'[1]COMEDORES EMERGENTES'!$B$15</f>
        <v>NUESTRO FUTURO - LAS VIAS</v>
      </c>
      <c r="C270" s="175"/>
      <c r="D270" s="89">
        <v>36</v>
      </c>
      <c r="E270" s="90" t="str">
        <f>'[1]COMEDORES EMERGENTES'!$G$15</f>
        <v>Bº LAS VIAS OESTE LOTE 42</v>
      </c>
    </row>
    <row r="271" spans="2:5" x14ac:dyDescent="0.2">
      <c r="B271" s="174" t="str">
        <f>'[1]COMEDORES EMERGENTES'!$B$16</f>
        <v>SAN JOSE OBRERO</v>
      </c>
      <c r="C271" s="175"/>
      <c r="D271" s="89">
        <v>23</v>
      </c>
      <c r="E271" s="90" t="str">
        <f>'[1]COMEDORES EMERGENTES'!$G$16</f>
        <v>Bº SAN JOSE OBRERO. PJE. SANDOVAL S/Nº</v>
      </c>
    </row>
    <row r="272" spans="2:5" x14ac:dyDescent="0.2">
      <c r="B272" s="174" t="str">
        <f>'[1]COMEDORES EMERGENTES'!$B$17</f>
        <v>VIRGEN DE LUJAN</v>
      </c>
      <c r="C272" s="175"/>
      <c r="D272" s="89">
        <v>36</v>
      </c>
      <c r="E272" s="90" t="str">
        <f>'[1]COMEDORES EMERGENTES'!$G$17</f>
        <v>Bº OJO DE AGUA C/DR.TEODULFO BARRIONUEVO S/Nº</v>
      </c>
    </row>
    <row r="273" spans="2:5" x14ac:dyDescent="0.2">
      <c r="B273" s="174" t="str">
        <f>'[1]COMEDORES EMERGENTES'!$B$18</f>
        <v>RENACER</v>
      </c>
      <c r="C273" s="175"/>
      <c r="D273" s="89">
        <v>45</v>
      </c>
      <c r="E273" s="90" t="str">
        <f>'[1]COMEDORES EMERGENTES'!$G$18</f>
        <v>Bº VIRGEN MORENITA</v>
      </c>
    </row>
    <row r="274" spans="2:5" x14ac:dyDescent="0.2">
      <c r="B274" s="174" t="str">
        <f>'[1]COMEDORES EMERGENTES'!$B$19</f>
        <v>CENTRO VECINAL MI JARDIN</v>
      </c>
      <c r="C274" s="175"/>
      <c r="D274" s="89">
        <v>32</v>
      </c>
      <c r="E274" s="90" t="str">
        <f>'[1]COMEDORES EMERGENTES'!$G$19</f>
        <v>C/ LOS TULIPANES ENTRE FLOR DE CEREZO Y HOLANDA MZA.27 Bº MI JARDIN</v>
      </c>
    </row>
    <row r="275" spans="2:5" x14ac:dyDescent="0.2">
      <c r="B275" s="174" t="str">
        <f>'[1]COMEDORES EMERGENTES'!$B$20</f>
        <v>LA VIEJA ESQUINA</v>
      </c>
      <c r="C275" s="175"/>
      <c r="D275" s="89">
        <v>31</v>
      </c>
      <c r="E275" s="90" t="str">
        <f>'[1]COMEDORES EMERGENTES'!$G$20</f>
        <v>B° CRISTO REY PJE CAPATAZ VILLAFAÑEZ Y ARMANDO CORREA</v>
      </c>
    </row>
    <row r="276" spans="2:5" x14ac:dyDescent="0.2">
      <c r="B276" s="174" t="str">
        <f>'[1]COMEDORES EMERGENTES'!$B$21</f>
        <v>GAUCHITO GIL</v>
      </c>
      <c r="C276" s="175"/>
      <c r="D276" s="89">
        <v>30</v>
      </c>
      <c r="E276" s="90" t="str">
        <f>'[1]COMEDORES EMERGENTES'!$G$21</f>
        <v>B° 26 VIVIENDAS CASA N° 3</v>
      </c>
    </row>
    <row r="277" spans="2:5" ht="13.5" thickBot="1" x14ac:dyDescent="0.25">
      <c r="B277" s="191" t="str">
        <f>'[1]COMEDORES EMERGENTES'!$B$22</f>
        <v>LOS TOLDOS</v>
      </c>
      <c r="C277" s="192"/>
      <c r="D277" s="96">
        <v>14</v>
      </c>
      <c r="E277" s="97" t="str">
        <f>'[1]COMEDORES EMERGENTES'!$G$22</f>
        <v>LOTEO PARQUE SUR CALLE S/NOMBRE S/N°</v>
      </c>
    </row>
    <row r="278" spans="2:5" x14ac:dyDescent="0.2">
      <c r="B278" s="14" t="s">
        <v>18</v>
      </c>
      <c r="C278" s="12"/>
      <c r="D278" s="53"/>
      <c r="E278" s="13"/>
    </row>
    <row r="279" spans="2:5" ht="12.75" customHeight="1" x14ac:dyDescent="0.2">
      <c r="B279" s="15"/>
      <c r="C279" s="190" t="s">
        <v>24</v>
      </c>
      <c r="D279" s="190"/>
      <c r="E279" s="190"/>
    </row>
    <row r="280" spans="2:5" x14ac:dyDescent="0.2">
      <c r="B280" s="14" t="s">
        <v>19</v>
      </c>
      <c r="C280" s="16"/>
      <c r="D280" s="16"/>
      <c r="E280" s="17"/>
    </row>
    <row r="281" spans="2:5" ht="14.25" customHeight="1" x14ac:dyDescent="0.2">
      <c r="B281" s="15"/>
      <c r="C281" s="190" t="s">
        <v>101</v>
      </c>
      <c r="D281" s="190"/>
      <c r="E281" s="190"/>
    </row>
    <row r="282" spans="2:5" x14ac:dyDescent="0.2">
      <c r="B282" s="14" t="s">
        <v>20</v>
      </c>
      <c r="C282" s="12"/>
      <c r="D282" s="53"/>
      <c r="E282" s="13"/>
    </row>
    <row r="283" spans="2:5" ht="11.25" customHeight="1" x14ac:dyDescent="0.2">
      <c r="B283" s="14"/>
      <c r="C283" s="189" t="s">
        <v>25</v>
      </c>
      <c r="D283" s="189"/>
      <c r="E283" s="189"/>
    </row>
    <row r="284" spans="2:5" ht="13.5" thickBot="1" x14ac:dyDescent="0.25">
      <c r="B284" s="18"/>
      <c r="C284" s="19"/>
      <c r="D284" s="54"/>
      <c r="E284" s="20"/>
    </row>
    <row r="285" spans="2:5" ht="13.5" thickBot="1" x14ac:dyDescent="0.25"/>
    <row r="286" spans="2:5" x14ac:dyDescent="0.2">
      <c r="B286" s="8" t="s">
        <v>106</v>
      </c>
      <c r="C286" s="9"/>
      <c r="D286" s="52"/>
      <c r="E286" s="10"/>
    </row>
    <row r="287" spans="2:5" ht="5.25" customHeight="1" x14ac:dyDescent="0.2">
      <c r="B287" s="11"/>
      <c r="C287" s="12"/>
      <c r="D287" s="53"/>
      <c r="E287" s="13"/>
    </row>
    <row r="288" spans="2:5" x14ac:dyDescent="0.2">
      <c r="B288" s="14" t="s">
        <v>16</v>
      </c>
      <c r="C288" s="12"/>
      <c r="D288" s="53"/>
      <c r="E288" s="13"/>
    </row>
    <row r="289" spans="2:5" ht="25.5" customHeight="1" x14ac:dyDescent="0.2">
      <c r="B289" s="14"/>
      <c r="C289" s="180"/>
      <c r="D289" s="180"/>
      <c r="E289" s="181"/>
    </row>
    <row r="290" spans="2:5" ht="13.5" thickBot="1" x14ac:dyDescent="0.25">
      <c r="B290" s="14" t="s">
        <v>17</v>
      </c>
      <c r="C290" s="12"/>
      <c r="D290" s="53"/>
      <c r="E290" s="13"/>
    </row>
    <row r="291" spans="2:5" ht="13.5" thickBot="1" x14ac:dyDescent="0.25">
      <c r="B291" s="176" t="s">
        <v>98</v>
      </c>
      <c r="C291" s="177"/>
      <c r="D291" s="177"/>
      <c r="E291" s="178"/>
    </row>
    <row r="292" spans="2:5" ht="13.5" thickBot="1" x14ac:dyDescent="0.25">
      <c r="B292" s="176" t="s">
        <v>99</v>
      </c>
      <c r="C292" s="178"/>
      <c r="D292" s="50" t="s">
        <v>11</v>
      </c>
      <c r="E292" s="50" t="s">
        <v>100</v>
      </c>
    </row>
    <row r="293" spans="2:5" x14ac:dyDescent="0.2">
      <c r="B293" s="183" t="str">
        <f>'[1]COMEDORES EMERGENTES'!$B$3</f>
        <v>UNA SONRISA AV. LOS COBACHO</v>
      </c>
      <c r="C293" s="184"/>
      <c r="D293" s="94">
        <v>8</v>
      </c>
      <c r="E293" s="95" t="str">
        <f>'[1]COMEDORES EMERGENTES'!$G$3</f>
        <v>Bº SAN CARLOS OESTE AV. Bonifacio cobacho 670</v>
      </c>
    </row>
    <row r="294" spans="2:5" x14ac:dyDescent="0.2">
      <c r="B294" s="174" t="str">
        <f>'[1]COMEDORES EMERGENTES'!$B$4</f>
        <v>C.I.F Nº1 - RIVERA DEL VALLE Y FLORIDA</v>
      </c>
      <c r="C294" s="175"/>
      <c r="D294" s="89">
        <v>12</v>
      </c>
      <c r="E294" s="90" t="str">
        <f>'[1]COMEDORES EMERGENTES'!$G$4</f>
        <v>AV. RIVIERA DEL VALLE ENTRE FLORIDA Y SANTA FE</v>
      </c>
    </row>
    <row r="295" spans="2:5" x14ac:dyDescent="0.2">
      <c r="B295" s="174" t="str">
        <f>'[1]COMEDORES EMERGENTES'!$B$5</f>
        <v>C.I.F - RIVERA DEL VALLE - DILORENZO</v>
      </c>
      <c r="C295" s="175"/>
      <c r="D295" s="89">
        <v>14</v>
      </c>
      <c r="E295" s="90" t="str">
        <f>'[1]COMEDORES EMERGENTES'!$G$5</f>
        <v>Bº RIVERA DEL VALLE ENTRE VILLA EUMELIA Y MONTE CRISTO</v>
      </c>
    </row>
    <row r="296" spans="2:5" x14ac:dyDescent="0.2">
      <c r="B296" s="174" t="str">
        <f>'[1]COMEDORES EMERGENTES'!$B$6</f>
        <v>ESFUERZO PROPIO- Bº ALTOS DE CHOYA</v>
      </c>
      <c r="C296" s="175"/>
      <c r="D296" s="89">
        <v>11</v>
      </c>
      <c r="E296" s="90" t="str">
        <f>'[1]COMEDORES EMERGENTES'!$G$6</f>
        <v>Bº MUNICIPAL 35VV. NORTE C/14</v>
      </c>
    </row>
    <row r="297" spans="2:5" x14ac:dyDescent="0.2">
      <c r="B297" s="174" t="str">
        <f>'[1]COMEDORES EMERGENTES'!$B$7</f>
        <v>ANGELITOS - LOTEO SUSSEX</v>
      </c>
      <c r="C297" s="175"/>
      <c r="D297" s="89">
        <v>5</v>
      </c>
      <c r="E297" s="90" t="str">
        <f>'[1]COMEDORES EMERGENTES'!$G$7</f>
        <v>Bº LOTEO SUSEX MZA.Nº 4 LOTE Nº3</v>
      </c>
    </row>
    <row r="298" spans="2:5" x14ac:dyDescent="0.2">
      <c r="B298" s="174" t="str">
        <f>'[1]COMEDORES EMERGENTES'!$B$8</f>
        <v>CLUB DEPORTIVO CHACARITA</v>
      </c>
      <c r="C298" s="175"/>
      <c r="D298" s="89">
        <v>7</v>
      </c>
      <c r="E298" s="90" t="str">
        <f>'[1]COMEDORES EMERGENTES'!$G$8</f>
        <v>CALLE DR.DERMIDIO GALINDEZ C/2660</v>
      </c>
    </row>
    <row r="299" spans="2:5" x14ac:dyDescent="0.2">
      <c r="B299" s="174" t="str">
        <f>'[1]COMEDORES EMERGENTES'!$B$9</f>
        <v>LA MORO</v>
      </c>
      <c r="C299" s="175"/>
      <c r="D299" s="89">
        <v>6</v>
      </c>
      <c r="E299" s="90" t="str">
        <f>'[1]COMEDORES EMERGENTES'!$G$9</f>
        <v>MAIPU NORTE 1º ETAPA MZA "H" Bº MI JARDIN</v>
      </c>
    </row>
    <row r="300" spans="2:5" x14ac:dyDescent="0.2">
      <c r="B300" s="174" t="str">
        <f>'[1]COMEDORES EMERGENTES'!$B$10</f>
        <v>PAPA FRANCISCO</v>
      </c>
      <c r="C300" s="175"/>
      <c r="D300" s="89">
        <v>10</v>
      </c>
      <c r="E300" s="90" t="str">
        <f>'[1]COMEDORES EMERGENTES'!$G$10</f>
        <v>ENTRE AV.TEREBINTO Y AV.SAN JUAN LOTE "2" MZA. "B"</v>
      </c>
    </row>
    <row r="301" spans="2:5" x14ac:dyDescent="0.2">
      <c r="B301" s="174" t="str">
        <f>'[1]COMEDORES EMERGENTES'!$B$11</f>
        <v>E.P.C - 100 V.V NORTE</v>
      </c>
      <c r="C301" s="175"/>
      <c r="D301" s="89">
        <v>15</v>
      </c>
      <c r="E301" s="90" t="str">
        <f>'[1]COMEDORES EMERGENTES'!$G$11</f>
        <v>Bº VV NORTE C/48 ENTRE ESPAÑA Y FRANCIA</v>
      </c>
    </row>
    <row r="302" spans="2:5" x14ac:dyDescent="0.2">
      <c r="B302" s="174" t="str">
        <f>'[1]COMEDORES EMERGENTES'!$B$12</f>
        <v>HOGAR DE CRISTO - PADRE RAUL CONTRERAS</v>
      </c>
      <c r="C302" s="175"/>
      <c r="D302" s="89">
        <v>15</v>
      </c>
      <c r="E302" s="90" t="str">
        <f>'[1]COMEDORES EMERGENTES'!$G$12</f>
        <v>Bº SANTA MARTA MZA. "S" LOTE "M" C/39</v>
      </c>
    </row>
    <row r="303" spans="2:5" x14ac:dyDescent="0.2">
      <c r="B303" s="174" t="str">
        <f>'[1]COMEDORES EMERGENTES'!$B$13</f>
        <v>LA LUCIERNAGA</v>
      </c>
      <c r="C303" s="175"/>
      <c r="D303" s="89">
        <v>10</v>
      </c>
      <c r="E303" s="90" t="str">
        <f>'[1]COMEDORES EMERGENTES'!$G$13</f>
        <v>Bº 20 V.V NORTE C/3</v>
      </c>
    </row>
    <row r="304" spans="2:5" x14ac:dyDescent="0.2">
      <c r="B304" s="174" t="str">
        <f>'[1]COMEDORES EMERGENTES'!$B$14</f>
        <v>VALLE VIEJO - SUMALAO</v>
      </c>
      <c r="C304" s="175"/>
      <c r="D304" s="89">
        <v>18</v>
      </c>
      <c r="E304" s="90" t="str">
        <f>'[1]COMEDORES EMERGENTES'!$G$14</f>
        <v>PADRE SEGURA S/N</v>
      </c>
    </row>
    <row r="305" spans="2:5" x14ac:dyDescent="0.2">
      <c r="B305" s="174" t="str">
        <f>'[1]COMEDORES EMERGENTES'!$B$15</f>
        <v>NUESTRO FUTURO - LAS VIAS</v>
      </c>
      <c r="C305" s="175"/>
      <c r="D305" s="89">
        <v>10</v>
      </c>
      <c r="E305" s="90" t="str">
        <f>'[1]COMEDORES EMERGENTES'!$G$15</f>
        <v>Bº LAS VIAS OESTE LOTE 42</v>
      </c>
    </row>
    <row r="306" spans="2:5" x14ac:dyDescent="0.2">
      <c r="B306" s="174" t="str">
        <f>'[1]COMEDORES EMERGENTES'!$B$16</f>
        <v>SAN JOSE OBRERO</v>
      </c>
      <c r="C306" s="175"/>
      <c r="D306" s="89">
        <v>7</v>
      </c>
      <c r="E306" s="90" t="str">
        <f>'[1]COMEDORES EMERGENTES'!$G$16</f>
        <v>Bº SAN JOSE OBRERO. PJE. SANDOVAL S/Nº</v>
      </c>
    </row>
    <row r="307" spans="2:5" x14ac:dyDescent="0.2">
      <c r="B307" s="174" t="str">
        <f>'[1]COMEDORES EMERGENTES'!$B$17</f>
        <v>VIRGEN DE LUJAN</v>
      </c>
      <c r="C307" s="175"/>
      <c r="D307" s="89">
        <v>10</v>
      </c>
      <c r="E307" s="90" t="str">
        <f>'[1]COMEDORES EMERGENTES'!$G$17</f>
        <v>Bº OJO DE AGUA C/DR.TEODULFO BARRIONUEVO S/Nº</v>
      </c>
    </row>
    <row r="308" spans="2:5" x14ac:dyDescent="0.2">
      <c r="B308" s="174" t="str">
        <f>'[1]COMEDORES EMERGENTES'!$B$18</f>
        <v>RENACER</v>
      </c>
      <c r="C308" s="175"/>
      <c r="D308" s="89">
        <v>13</v>
      </c>
      <c r="E308" s="90" t="str">
        <f>'[1]COMEDORES EMERGENTES'!$G$18</f>
        <v>Bº VIRGEN MORENITA</v>
      </c>
    </row>
    <row r="309" spans="2:5" x14ac:dyDescent="0.2">
      <c r="B309" s="174" t="str">
        <f>'[1]COMEDORES EMERGENTES'!$B$19</f>
        <v>CENTRO VECINAL MI JARDIN</v>
      </c>
      <c r="C309" s="175"/>
      <c r="D309" s="89">
        <v>9</v>
      </c>
      <c r="E309" s="90" t="str">
        <f>'[1]COMEDORES EMERGENTES'!$G$19</f>
        <v>C/ LOS TULIPANES ENTRE FLOR DE CEREZO Y HOLANDA MZA.27 Bº MI JARDIN</v>
      </c>
    </row>
    <row r="310" spans="2:5" x14ac:dyDescent="0.2">
      <c r="B310" s="174" t="str">
        <f>'[1]COMEDORES EMERGENTES'!$B$20</f>
        <v>LA VIEJA ESQUINA</v>
      </c>
      <c r="C310" s="175"/>
      <c r="D310" s="89">
        <v>9</v>
      </c>
      <c r="E310" s="90" t="str">
        <f>'[1]COMEDORES EMERGENTES'!$G$20</f>
        <v>B° CRISTO REY PJE CAPATAZ VILLAFAÑEZ Y ARMANDO CORREA</v>
      </c>
    </row>
    <row r="311" spans="2:5" x14ac:dyDescent="0.2">
      <c r="B311" s="174" t="str">
        <f>'[1]COMEDORES EMERGENTES'!$B$21</f>
        <v>GAUCHITO GIL</v>
      </c>
      <c r="C311" s="175"/>
      <c r="D311" s="89">
        <v>8</v>
      </c>
      <c r="E311" s="90" t="str">
        <f>'[1]COMEDORES EMERGENTES'!$G$21</f>
        <v>B° 26 VIVIENDAS CASA N° 3</v>
      </c>
    </row>
    <row r="312" spans="2:5" ht="13.5" thickBot="1" x14ac:dyDescent="0.25">
      <c r="B312" s="191" t="str">
        <f>'[1]COMEDORES EMERGENTES'!$B$22</f>
        <v>LOS TOLDOS</v>
      </c>
      <c r="C312" s="192"/>
      <c r="D312" s="96">
        <v>4</v>
      </c>
      <c r="E312" s="97" t="str">
        <f>'[1]COMEDORES EMERGENTES'!$G$22</f>
        <v>LOTEO PARQUE SUR CALLE S/NOMBRE S/N°</v>
      </c>
    </row>
    <row r="313" spans="2:5" x14ac:dyDescent="0.2">
      <c r="B313" s="14" t="s">
        <v>18</v>
      </c>
      <c r="C313" s="12"/>
      <c r="D313" s="53"/>
      <c r="E313" s="13"/>
    </row>
    <row r="314" spans="2:5" ht="12.75" customHeight="1" x14ac:dyDescent="0.2">
      <c r="B314" s="15"/>
      <c r="C314" s="190" t="s">
        <v>24</v>
      </c>
      <c r="D314" s="190"/>
      <c r="E314" s="190"/>
    </row>
    <row r="315" spans="2:5" x14ac:dyDescent="0.2">
      <c r="B315" s="14" t="s">
        <v>19</v>
      </c>
      <c r="C315" s="16"/>
      <c r="D315" s="16"/>
      <c r="E315" s="17"/>
    </row>
    <row r="316" spans="2:5" ht="14.25" customHeight="1" x14ac:dyDescent="0.2">
      <c r="B316" s="15"/>
      <c r="C316" s="190" t="s">
        <v>101</v>
      </c>
      <c r="D316" s="190"/>
      <c r="E316" s="190"/>
    </row>
    <row r="317" spans="2:5" x14ac:dyDescent="0.2">
      <c r="B317" s="14" t="s">
        <v>20</v>
      </c>
      <c r="C317" s="12"/>
      <c r="D317" s="53"/>
      <c r="E317" s="13"/>
    </row>
    <row r="318" spans="2:5" ht="11.25" customHeight="1" x14ac:dyDescent="0.2">
      <c r="B318" s="14"/>
      <c r="C318" s="189" t="s">
        <v>25</v>
      </c>
      <c r="D318" s="189"/>
      <c r="E318" s="189"/>
    </row>
    <row r="319" spans="2:5" ht="13.5" thickBot="1" x14ac:dyDescent="0.25">
      <c r="B319" s="18"/>
      <c r="C319" s="19"/>
      <c r="D319" s="54"/>
      <c r="E319" s="20"/>
    </row>
    <row r="320" spans="2:5" ht="13.5" thickBot="1" x14ac:dyDescent="0.25"/>
    <row r="321" spans="2:5" x14ac:dyDescent="0.2">
      <c r="B321" s="8" t="s">
        <v>107</v>
      </c>
      <c r="C321" s="9"/>
      <c r="D321" s="52"/>
      <c r="E321" s="10"/>
    </row>
    <row r="322" spans="2:5" ht="5.25" customHeight="1" x14ac:dyDescent="0.2">
      <c r="B322" s="11"/>
      <c r="C322" s="12"/>
      <c r="D322" s="53"/>
      <c r="E322" s="13"/>
    </row>
    <row r="323" spans="2:5" x14ac:dyDescent="0.2">
      <c r="B323" s="14" t="s">
        <v>16</v>
      </c>
      <c r="C323" s="12"/>
      <c r="D323" s="53"/>
      <c r="E323" s="13"/>
    </row>
    <row r="324" spans="2:5" ht="25.5" customHeight="1" x14ac:dyDescent="0.2">
      <c r="B324" s="14"/>
      <c r="C324" s="190"/>
      <c r="D324" s="190"/>
      <c r="E324" s="190"/>
    </row>
    <row r="325" spans="2:5" ht="13.5" thickBot="1" x14ac:dyDescent="0.25">
      <c r="B325" s="14" t="s">
        <v>17</v>
      </c>
      <c r="C325" s="12"/>
      <c r="D325" s="53"/>
      <c r="E325" s="13"/>
    </row>
    <row r="326" spans="2:5" ht="13.5" thickBot="1" x14ac:dyDescent="0.25">
      <c r="B326" s="176" t="s">
        <v>98</v>
      </c>
      <c r="C326" s="177"/>
      <c r="D326" s="177"/>
      <c r="E326" s="178"/>
    </row>
    <row r="327" spans="2:5" ht="13.5" thickBot="1" x14ac:dyDescent="0.25">
      <c r="B327" s="176" t="s">
        <v>99</v>
      </c>
      <c r="C327" s="178"/>
      <c r="D327" s="50" t="s">
        <v>11</v>
      </c>
      <c r="E327" s="50" t="s">
        <v>100</v>
      </c>
    </row>
    <row r="328" spans="2:5" x14ac:dyDescent="0.2">
      <c r="B328" s="183" t="str">
        <f>'[1]COMEDORES EMERGENTES'!$B$3</f>
        <v>UNA SONRISA AV. LOS COBACHO</v>
      </c>
      <c r="C328" s="184"/>
      <c r="D328" s="94" t="s">
        <v>137</v>
      </c>
      <c r="E328" s="95" t="str">
        <f>'[1]COMEDORES EMERGENTES'!$G$3</f>
        <v>Bº SAN CARLOS OESTE AV. Bonifacio cobacho 670</v>
      </c>
    </row>
    <row r="329" spans="2:5" x14ac:dyDescent="0.2">
      <c r="B329" s="174" t="str">
        <f>'[1]COMEDORES EMERGENTES'!$B$4</f>
        <v>C.I.F Nº1 - RIVERA DEL VALLE Y FLORIDA</v>
      </c>
      <c r="C329" s="175"/>
      <c r="D329" s="89" t="s">
        <v>165</v>
      </c>
      <c r="E329" s="90" t="str">
        <f>'[1]COMEDORES EMERGENTES'!$G$4</f>
        <v>AV. RIVIERA DEL VALLE ENTRE FLORIDA Y SANTA FE</v>
      </c>
    </row>
    <row r="330" spans="2:5" x14ac:dyDescent="0.2">
      <c r="B330" s="174" t="str">
        <f>'[1]COMEDORES EMERGENTES'!$B$5</f>
        <v>C.I.F - RIVERA DEL VALLE - DILORENZO</v>
      </c>
      <c r="C330" s="175"/>
      <c r="D330" s="89" t="s">
        <v>166</v>
      </c>
      <c r="E330" s="90" t="str">
        <f>'[1]COMEDORES EMERGENTES'!$G$5</f>
        <v>Bº RIVERA DEL VALLE ENTRE VILLA EUMELIA Y MONTE CRISTO</v>
      </c>
    </row>
    <row r="331" spans="2:5" x14ac:dyDescent="0.2">
      <c r="B331" s="174" t="str">
        <f>'[1]COMEDORES EMERGENTES'!$B$6</f>
        <v>ESFUERZO PROPIO- Bº ALTOS DE CHOYA</v>
      </c>
      <c r="C331" s="175"/>
      <c r="D331" s="89" t="s">
        <v>167</v>
      </c>
      <c r="E331" s="90" t="str">
        <f>'[1]COMEDORES EMERGENTES'!$G$6</f>
        <v>Bº MUNICIPAL 35VV. NORTE C/14</v>
      </c>
    </row>
    <row r="332" spans="2:5" x14ac:dyDescent="0.2">
      <c r="B332" s="174" t="str">
        <f>'[1]COMEDORES EMERGENTES'!$B$7</f>
        <v>ANGELITOS - LOTEO SUSSEX</v>
      </c>
      <c r="C332" s="175"/>
      <c r="D332" s="89" t="s">
        <v>148</v>
      </c>
      <c r="E332" s="90" t="str">
        <f>'[1]COMEDORES EMERGENTES'!$G$7</f>
        <v>Bº LOTEO SUSEX MZA.Nº 4 LOTE Nº3</v>
      </c>
    </row>
    <row r="333" spans="2:5" x14ac:dyDescent="0.2">
      <c r="B333" s="174" t="str">
        <f>'[1]COMEDORES EMERGENTES'!$B$8</f>
        <v>CLUB DEPORTIVO CHACARITA</v>
      </c>
      <c r="C333" s="175"/>
      <c r="D333" s="89" t="s">
        <v>158</v>
      </c>
      <c r="E333" s="90" t="str">
        <f>'[1]COMEDORES EMERGENTES'!$G$8</f>
        <v>CALLE DR.DERMIDIO GALINDEZ C/2660</v>
      </c>
    </row>
    <row r="334" spans="2:5" x14ac:dyDescent="0.2">
      <c r="B334" s="174" t="str">
        <f>'[1]COMEDORES EMERGENTES'!$B$9</f>
        <v>LA MORO</v>
      </c>
      <c r="C334" s="175"/>
      <c r="D334" s="89" t="s">
        <v>159</v>
      </c>
      <c r="E334" s="90" t="str">
        <f>'[1]COMEDORES EMERGENTES'!$G$9</f>
        <v>MAIPU NORTE 1º ETAPA MZA "H" Bº MI JARDIN</v>
      </c>
    </row>
    <row r="335" spans="2:5" x14ac:dyDescent="0.2">
      <c r="B335" s="174" t="str">
        <f>'[1]COMEDORES EMERGENTES'!$B$10</f>
        <v>PAPA FRANCISCO</v>
      </c>
      <c r="C335" s="175"/>
      <c r="D335" s="89" t="s">
        <v>168</v>
      </c>
      <c r="E335" s="90" t="str">
        <f>'[1]COMEDORES EMERGENTES'!$G$10</f>
        <v>ENTRE AV.TEREBINTO Y AV.SAN JUAN LOTE "2" MZA. "B"</v>
      </c>
    </row>
    <row r="336" spans="2:5" x14ac:dyDescent="0.2">
      <c r="B336" s="174" t="str">
        <f>'[1]COMEDORES EMERGENTES'!$B$11</f>
        <v>E.P.C - 100 V.V NORTE</v>
      </c>
      <c r="C336" s="175"/>
      <c r="D336" s="89" t="s">
        <v>169</v>
      </c>
      <c r="E336" s="90" t="str">
        <f>'[1]COMEDORES EMERGENTES'!$G$11</f>
        <v>Bº VV NORTE C/48 ENTRE ESPAÑA Y FRANCIA</v>
      </c>
    </row>
    <row r="337" spans="2:5" x14ac:dyDescent="0.2">
      <c r="B337" s="174" t="str">
        <f>'[1]COMEDORES EMERGENTES'!$B$12</f>
        <v>HOGAR DE CRISTO - PADRE RAUL CONTRERAS</v>
      </c>
      <c r="C337" s="175"/>
      <c r="D337" s="89" t="s">
        <v>169</v>
      </c>
      <c r="E337" s="90" t="str">
        <f>'[1]COMEDORES EMERGENTES'!$G$12</f>
        <v>Bº SANTA MARTA MZA. "S" LOTE "M" C/39</v>
      </c>
    </row>
    <row r="338" spans="2:5" x14ac:dyDescent="0.2">
      <c r="B338" s="174" t="str">
        <f>'[1]COMEDORES EMERGENTES'!$B$13</f>
        <v>LA LUCIERNAGA</v>
      </c>
      <c r="C338" s="175"/>
      <c r="D338" s="89" t="s">
        <v>168</v>
      </c>
      <c r="E338" s="90" t="str">
        <f>'[1]COMEDORES EMERGENTES'!$G$13</f>
        <v>Bº 20 V.V NORTE C/3</v>
      </c>
    </row>
    <row r="339" spans="2:5" x14ac:dyDescent="0.2">
      <c r="B339" s="174" t="str">
        <f>'[1]COMEDORES EMERGENTES'!$B$14</f>
        <v>VALLE VIEJO - SUMALAO</v>
      </c>
      <c r="C339" s="175"/>
      <c r="D339" s="89" t="s">
        <v>170</v>
      </c>
      <c r="E339" s="90" t="str">
        <f>'[1]COMEDORES EMERGENTES'!$G$14</f>
        <v>PADRE SEGURA S/N</v>
      </c>
    </row>
    <row r="340" spans="2:5" x14ac:dyDescent="0.2">
      <c r="B340" s="174" t="str">
        <f>'[1]COMEDORES EMERGENTES'!$B$15</f>
        <v>NUESTRO FUTURO - LAS VIAS</v>
      </c>
      <c r="C340" s="175"/>
      <c r="D340" s="89" t="s">
        <v>168</v>
      </c>
      <c r="E340" s="90" t="str">
        <f>'[1]COMEDORES EMERGENTES'!$G$15</f>
        <v>Bº LAS VIAS OESTE LOTE 42</v>
      </c>
    </row>
    <row r="341" spans="2:5" x14ac:dyDescent="0.2">
      <c r="B341" s="174" t="str">
        <f>'[1]COMEDORES EMERGENTES'!$B$16</f>
        <v>SAN JOSE OBRERO</v>
      </c>
      <c r="C341" s="175"/>
      <c r="D341" s="89" t="s">
        <v>158</v>
      </c>
      <c r="E341" s="90" t="str">
        <f>'[1]COMEDORES EMERGENTES'!$G$16</f>
        <v>Bº SAN JOSE OBRERO. PJE. SANDOVAL S/Nº</v>
      </c>
    </row>
    <row r="342" spans="2:5" x14ac:dyDescent="0.2">
      <c r="B342" s="174" t="str">
        <f>'[1]COMEDORES EMERGENTES'!$B$17</f>
        <v>VIRGEN DE LUJAN</v>
      </c>
      <c r="C342" s="175"/>
      <c r="D342" s="89" t="s">
        <v>168</v>
      </c>
      <c r="E342" s="90" t="str">
        <f>'[1]COMEDORES EMERGENTES'!$G$17</f>
        <v>Bº OJO DE AGUA C/DR.TEODULFO BARRIONUEVO S/Nº</v>
      </c>
    </row>
    <row r="343" spans="2:5" x14ac:dyDescent="0.2">
      <c r="B343" s="174" t="str">
        <f>'[1]COMEDORES EMERGENTES'!$B$18</f>
        <v>RENACER</v>
      </c>
      <c r="C343" s="175"/>
      <c r="D343" s="89" t="s">
        <v>156</v>
      </c>
      <c r="E343" s="90" t="str">
        <f>'[1]COMEDORES EMERGENTES'!$G$18</f>
        <v>Bº VIRGEN MORENITA</v>
      </c>
    </row>
    <row r="344" spans="2:5" x14ac:dyDescent="0.2">
      <c r="B344" s="174" t="str">
        <f>'[1]COMEDORES EMERGENTES'!$B$19</f>
        <v>CENTRO VECINAL MI JARDIN</v>
      </c>
      <c r="C344" s="175"/>
      <c r="D344" s="89" t="s">
        <v>157</v>
      </c>
      <c r="E344" s="90" t="str">
        <f>'[1]COMEDORES EMERGENTES'!$G$19</f>
        <v>C/ LOS TULIPANES ENTRE FLOR DE CEREZO Y HOLANDA MZA.27 Bº MI JARDIN</v>
      </c>
    </row>
    <row r="345" spans="2:5" x14ac:dyDescent="0.2">
      <c r="B345" s="174" t="str">
        <f>'[1]COMEDORES EMERGENTES'!$B$20</f>
        <v>LA VIEJA ESQUINA</v>
      </c>
      <c r="C345" s="175"/>
      <c r="D345" s="89" t="s">
        <v>171</v>
      </c>
      <c r="E345" s="90" t="str">
        <f>'[1]COMEDORES EMERGENTES'!$G$20</f>
        <v>B° CRISTO REY PJE CAPATAZ VILLAFAÑEZ Y ARMANDO CORREA</v>
      </c>
    </row>
    <row r="346" spans="2:5" x14ac:dyDescent="0.2">
      <c r="B346" s="174" t="str">
        <f>'[1]COMEDORES EMERGENTES'!$B$21</f>
        <v>GAUCHITO GIL</v>
      </c>
      <c r="C346" s="175"/>
      <c r="D346" s="89" t="s">
        <v>172</v>
      </c>
      <c r="E346" s="90" t="str">
        <f>'[1]COMEDORES EMERGENTES'!$G$21</f>
        <v>B° 26 VIVIENDAS CASA N° 3</v>
      </c>
    </row>
    <row r="347" spans="2:5" ht="13.5" thickBot="1" x14ac:dyDescent="0.25">
      <c r="B347" s="191" t="str">
        <f>'[1]COMEDORES EMERGENTES'!$B$22</f>
        <v>LOS TOLDOS</v>
      </c>
      <c r="C347" s="192"/>
      <c r="D347" s="96" t="s">
        <v>146</v>
      </c>
      <c r="E347" s="97" t="str">
        <f>'[1]COMEDORES EMERGENTES'!$G$22</f>
        <v>LOTEO PARQUE SUR CALLE S/NOMBRE S/N°</v>
      </c>
    </row>
    <row r="348" spans="2:5" x14ac:dyDescent="0.2">
      <c r="B348" s="14" t="s">
        <v>18</v>
      </c>
      <c r="C348" s="12"/>
      <c r="D348" s="53"/>
      <c r="E348" s="13"/>
    </row>
    <row r="349" spans="2:5" ht="12.75" customHeight="1" x14ac:dyDescent="0.2">
      <c r="B349" s="15"/>
      <c r="C349" s="190" t="s">
        <v>24</v>
      </c>
      <c r="D349" s="190"/>
      <c r="E349" s="190"/>
    </row>
    <row r="350" spans="2:5" x14ac:dyDescent="0.2">
      <c r="B350" s="14" t="s">
        <v>19</v>
      </c>
      <c r="C350" s="16"/>
      <c r="D350" s="16"/>
      <c r="E350" s="17"/>
    </row>
    <row r="351" spans="2:5" ht="14.25" customHeight="1" x14ac:dyDescent="0.2">
      <c r="B351" s="15"/>
      <c r="C351" s="190" t="s">
        <v>101</v>
      </c>
      <c r="D351" s="190"/>
      <c r="E351" s="190"/>
    </row>
    <row r="352" spans="2:5" x14ac:dyDescent="0.2">
      <c r="B352" s="14" t="s">
        <v>20</v>
      </c>
      <c r="C352" s="12"/>
      <c r="D352" s="53"/>
      <c r="E352" s="13"/>
    </row>
    <row r="353" spans="2:5" ht="11.25" customHeight="1" x14ac:dyDescent="0.2">
      <c r="B353" s="14"/>
      <c r="C353" s="189" t="s">
        <v>25</v>
      </c>
      <c r="D353" s="189"/>
      <c r="E353" s="189"/>
    </row>
    <row r="354" spans="2:5" ht="13.5" thickBot="1" x14ac:dyDescent="0.25">
      <c r="B354" s="18"/>
      <c r="C354" s="19"/>
      <c r="D354" s="54"/>
      <c r="E354" s="20"/>
    </row>
    <row r="355" spans="2:5" ht="13.5" thickBot="1" x14ac:dyDescent="0.25"/>
    <row r="356" spans="2:5" x14ac:dyDescent="0.2">
      <c r="B356" s="8" t="s">
        <v>108</v>
      </c>
      <c r="C356" s="9"/>
      <c r="D356" s="52"/>
      <c r="E356" s="10"/>
    </row>
    <row r="357" spans="2:5" ht="5.25" customHeight="1" x14ac:dyDescent="0.2">
      <c r="B357" s="11"/>
      <c r="C357" s="12"/>
      <c r="D357" s="53"/>
      <c r="E357" s="13"/>
    </row>
    <row r="358" spans="2:5" x14ac:dyDescent="0.2">
      <c r="B358" s="14" t="s">
        <v>16</v>
      </c>
      <c r="C358" s="12"/>
      <c r="D358" s="53"/>
      <c r="E358" s="13"/>
    </row>
    <row r="359" spans="2:5" ht="25.5" customHeight="1" x14ac:dyDescent="0.2">
      <c r="B359" s="14"/>
      <c r="C359" s="190"/>
      <c r="D359" s="190"/>
      <c r="E359" s="190"/>
    </row>
    <row r="360" spans="2:5" ht="13.5" thickBot="1" x14ac:dyDescent="0.25">
      <c r="B360" s="14" t="s">
        <v>17</v>
      </c>
      <c r="C360" s="12"/>
      <c r="D360" s="53"/>
      <c r="E360" s="13"/>
    </row>
    <row r="361" spans="2:5" ht="13.5" thickBot="1" x14ac:dyDescent="0.25">
      <c r="B361" s="176" t="s">
        <v>98</v>
      </c>
      <c r="C361" s="177"/>
      <c r="D361" s="177"/>
      <c r="E361" s="178"/>
    </row>
    <row r="362" spans="2:5" ht="13.5" thickBot="1" x14ac:dyDescent="0.25">
      <c r="B362" s="176" t="s">
        <v>99</v>
      </c>
      <c r="C362" s="178"/>
      <c r="D362" s="50" t="s">
        <v>11</v>
      </c>
      <c r="E362" s="50" t="s">
        <v>100</v>
      </c>
    </row>
    <row r="363" spans="2:5" x14ac:dyDescent="0.2">
      <c r="B363" s="183" t="str">
        <f>'[1]COMEDORES EMERGENTES'!$B$3</f>
        <v>UNA SONRISA AV. LOS COBACHO</v>
      </c>
      <c r="C363" s="184"/>
      <c r="D363" s="94" t="s">
        <v>168</v>
      </c>
      <c r="E363" s="95" t="str">
        <f>'[1]COMEDORES EMERGENTES'!$G$3</f>
        <v>Bº SAN CARLOS OESTE AV. Bonifacio cobacho 670</v>
      </c>
    </row>
    <row r="364" spans="2:5" x14ac:dyDescent="0.2">
      <c r="B364" s="174" t="str">
        <f>'[1]COMEDORES EMERGENTES'!$B$4</f>
        <v>C.I.F Nº1 - RIVERA DEL VALLE Y FLORIDA</v>
      </c>
      <c r="C364" s="175"/>
      <c r="D364" s="89" t="s">
        <v>173</v>
      </c>
      <c r="E364" s="90" t="str">
        <f>'[1]COMEDORES EMERGENTES'!$G$4</f>
        <v>AV. RIVIERA DEL VALLE ENTRE FLORIDA Y SANTA FE</v>
      </c>
    </row>
    <row r="365" spans="2:5" x14ac:dyDescent="0.2">
      <c r="B365" s="174" t="str">
        <f>'[1]COMEDORES EMERGENTES'!$B$5</f>
        <v>C.I.F - RIVERA DEL VALLE - DILORENZO</v>
      </c>
      <c r="C365" s="175"/>
      <c r="D365" s="89" t="s">
        <v>174</v>
      </c>
      <c r="E365" s="90" t="str">
        <f>'[1]COMEDORES EMERGENTES'!$G$5</f>
        <v>Bº RIVERA DEL VALLE ENTRE VILLA EUMELIA Y MONTE CRISTO</v>
      </c>
    </row>
    <row r="366" spans="2:5" x14ac:dyDescent="0.2">
      <c r="B366" s="174" t="str">
        <f>'[1]COMEDORES EMERGENTES'!$B$6</f>
        <v>ESFUERZO PROPIO- Bº ALTOS DE CHOYA</v>
      </c>
      <c r="C366" s="175"/>
      <c r="D366" s="89" t="s">
        <v>175</v>
      </c>
      <c r="E366" s="90" t="str">
        <f>'[1]COMEDORES EMERGENTES'!$G$6</f>
        <v>Bº MUNICIPAL 35VV. NORTE C/14</v>
      </c>
    </row>
    <row r="367" spans="2:5" x14ac:dyDescent="0.2">
      <c r="B367" s="174" t="str">
        <f>'[1]COMEDORES EMERGENTES'!$B$7</f>
        <v>ANGELITOS - LOTEO SUSSEX</v>
      </c>
      <c r="C367" s="175"/>
      <c r="D367" s="89" t="s">
        <v>131</v>
      </c>
      <c r="E367" s="90" t="str">
        <f>'[1]COMEDORES EMERGENTES'!$G$7</f>
        <v>Bº LOTEO SUSEX MZA.Nº 4 LOTE Nº3</v>
      </c>
    </row>
    <row r="368" spans="2:5" x14ac:dyDescent="0.2">
      <c r="B368" s="174" t="str">
        <f>'[1]COMEDORES EMERGENTES'!$B$8</f>
        <v>CLUB DEPORTIVO CHACARITA</v>
      </c>
      <c r="C368" s="175"/>
      <c r="D368" s="89" t="s">
        <v>151</v>
      </c>
      <c r="E368" s="90" t="str">
        <f>'[1]COMEDORES EMERGENTES'!$G$8</f>
        <v>CALLE DR.DERMIDIO GALINDEZ C/2660</v>
      </c>
    </row>
    <row r="369" spans="2:5" x14ac:dyDescent="0.2">
      <c r="B369" s="174" t="str">
        <f>'[1]COMEDORES EMERGENTES'!$B$9</f>
        <v>LA MORO</v>
      </c>
      <c r="C369" s="175"/>
      <c r="D369" s="89" t="s">
        <v>176</v>
      </c>
      <c r="E369" s="90" t="str">
        <f>'[1]COMEDORES EMERGENTES'!$G$9</f>
        <v>MAIPU NORTE 1º ETAPA MZA "H" Bº MI JARDIN</v>
      </c>
    </row>
    <row r="370" spans="2:5" x14ac:dyDescent="0.2">
      <c r="B370" s="174" t="str">
        <f>'[1]COMEDORES EMERGENTES'!$B$10</f>
        <v>PAPA FRANCISCO</v>
      </c>
      <c r="C370" s="175"/>
      <c r="D370" s="89" t="s">
        <v>156</v>
      </c>
      <c r="E370" s="90" t="str">
        <f>'[1]COMEDORES EMERGENTES'!$G$10</f>
        <v>ENTRE AV.TEREBINTO Y AV.SAN JUAN LOTE "2" MZA. "B"</v>
      </c>
    </row>
    <row r="371" spans="2:5" x14ac:dyDescent="0.2">
      <c r="B371" s="174" t="str">
        <f>'[1]COMEDORES EMERGENTES'!$B$11</f>
        <v>E.P.C - 100 V.V NORTE</v>
      </c>
      <c r="C371" s="175"/>
      <c r="D371" s="89" t="s">
        <v>177</v>
      </c>
      <c r="E371" s="90" t="str">
        <f>'[1]COMEDORES EMERGENTES'!$G$11</f>
        <v>Bº VV NORTE C/48 ENTRE ESPAÑA Y FRANCIA</v>
      </c>
    </row>
    <row r="372" spans="2:5" x14ac:dyDescent="0.2">
      <c r="B372" s="174" t="str">
        <f>'[1]COMEDORES EMERGENTES'!$B$12</f>
        <v>HOGAR DE CRISTO - PADRE RAUL CONTRERAS</v>
      </c>
      <c r="C372" s="175"/>
      <c r="D372" s="89" t="s">
        <v>177</v>
      </c>
      <c r="E372" s="90" t="str">
        <f>'[1]COMEDORES EMERGENTES'!$G$12</f>
        <v>Bº SANTA MARTA MZA. "S" LOTE "M" C/39</v>
      </c>
    </row>
    <row r="373" spans="2:5" x14ac:dyDescent="0.2">
      <c r="B373" s="174" t="str">
        <f>'[1]COMEDORES EMERGENTES'!$B$13</f>
        <v>LA LUCIERNAGA</v>
      </c>
      <c r="C373" s="175"/>
      <c r="D373" s="89" t="s">
        <v>156</v>
      </c>
      <c r="E373" s="90" t="str">
        <f>'[1]COMEDORES EMERGENTES'!$G$13</f>
        <v>Bº 20 V.V NORTE C/3</v>
      </c>
    </row>
    <row r="374" spans="2:5" x14ac:dyDescent="0.2">
      <c r="B374" s="174" t="str">
        <f>'[1]COMEDORES EMERGENTES'!$B$14</f>
        <v>VALLE VIEJO - SUMALAO</v>
      </c>
      <c r="C374" s="175"/>
      <c r="D374" s="89" t="s">
        <v>178</v>
      </c>
      <c r="E374" s="90" t="str">
        <f>'[1]COMEDORES EMERGENTES'!$G$14</f>
        <v>PADRE SEGURA S/N</v>
      </c>
    </row>
    <row r="375" spans="2:5" x14ac:dyDescent="0.2">
      <c r="B375" s="174" t="str">
        <f>'[1]COMEDORES EMERGENTES'!$B$15</f>
        <v>NUESTRO FUTURO - LAS VIAS</v>
      </c>
      <c r="C375" s="175"/>
      <c r="D375" s="89" t="s">
        <v>156</v>
      </c>
      <c r="E375" s="90" t="str">
        <f>'[1]COMEDORES EMERGENTES'!$G$15</f>
        <v>Bº LAS VIAS OESTE LOTE 42</v>
      </c>
    </row>
    <row r="376" spans="2:5" x14ac:dyDescent="0.2">
      <c r="B376" s="174" t="str">
        <f>'[1]COMEDORES EMERGENTES'!$B$16</f>
        <v>SAN JOSE OBRERO</v>
      </c>
      <c r="C376" s="175"/>
      <c r="D376" s="89" t="s">
        <v>151</v>
      </c>
      <c r="E376" s="90" t="str">
        <f>'[1]COMEDORES EMERGENTES'!$G$16</f>
        <v>Bº SAN JOSE OBRERO. PJE. SANDOVAL S/Nº</v>
      </c>
    </row>
    <row r="377" spans="2:5" x14ac:dyDescent="0.2">
      <c r="B377" s="174" t="str">
        <f>'[1]COMEDORES EMERGENTES'!$B$17</f>
        <v>VIRGEN DE LUJAN</v>
      </c>
      <c r="C377" s="175"/>
      <c r="D377" s="89" t="s">
        <v>156</v>
      </c>
      <c r="E377" s="90" t="str">
        <f>'[1]COMEDORES EMERGENTES'!$G$17</f>
        <v>Bº OJO DE AGUA C/DR.TEODULFO BARRIONUEVO S/Nº</v>
      </c>
    </row>
    <row r="378" spans="2:5" x14ac:dyDescent="0.2">
      <c r="B378" s="174" t="str">
        <f>'[1]COMEDORES EMERGENTES'!$B$18</f>
        <v>RENACER</v>
      </c>
      <c r="C378" s="175"/>
      <c r="D378" s="89" t="s">
        <v>179</v>
      </c>
      <c r="E378" s="90" t="str">
        <f>'[1]COMEDORES EMERGENTES'!$G$18</f>
        <v>Bº VIRGEN MORENITA</v>
      </c>
    </row>
    <row r="379" spans="2:5" x14ac:dyDescent="0.2">
      <c r="B379" s="174" t="str">
        <f>'[1]COMEDORES EMERGENTES'!$B$19</f>
        <v>CENTRO VECINAL MI JARDIN</v>
      </c>
      <c r="C379" s="175"/>
      <c r="D379" s="89" t="s">
        <v>180</v>
      </c>
      <c r="E379" s="90" t="str">
        <f>'[1]COMEDORES EMERGENTES'!$G$19</f>
        <v>C/ LOS TULIPANES ENTRE FLOR DE CEREZO Y HOLANDA MZA.27 Bº MI JARDIN</v>
      </c>
    </row>
    <row r="380" spans="2:5" x14ac:dyDescent="0.2">
      <c r="B380" s="174" t="str">
        <f>'[1]COMEDORES EMERGENTES'!$B$20</f>
        <v>LA VIEJA ESQUINA</v>
      </c>
      <c r="C380" s="175"/>
      <c r="D380" s="89" t="s">
        <v>155</v>
      </c>
      <c r="E380" s="90" t="str">
        <f>'[1]COMEDORES EMERGENTES'!$G$20</f>
        <v>B° CRISTO REY PJE CAPATAZ VILLAFAÑEZ Y ARMANDO CORREA</v>
      </c>
    </row>
    <row r="381" spans="2:5" x14ac:dyDescent="0.2">
      <c r="B381" s="174" t="str">
        <f>'[1]COMEDORES EMERGENTES'!$B$21</f>
        <v>GAUCHITO GIL</v>
      </c>
      <c r="C381" s="175"/>
      <c r="D381" s="89" t="s">
        <v>181</v>
      </c>
      <c r="E381" s="90" t="str">
        <f>'[1]COMEDORES EMERGENTES'!$G$21</f>
        <v>B° 26 VIVIENDAS CASA N° 3</v>
      </c>
    </row>
    <row r="382" spans="2:5" ht="13.5" thickBot="1" x14ac:dyDescent="0.25">
      <c r="B382" s="191" t="str">
        <f>'[1]COMEDORES EMERGENTES'!$B$22</f>
        <v>LOS TOLDOS</v>
      </c>
      <c r="C382" s="192"/>
      <c r="D382" s="96" t="s">
        <v>148</v>
      </c>
      <c r="E382" s="97" t="str">
        <f>'[1]COMEDORES EMERGENTES'!$G$22</f>
        <v>LOTEO PARQUE SUR CALLE S/NOMBRE S/N°</v>
      </c>
    </row>
    <row r="383" spans="2:5" x14ac:dyDescent="0.2">
      <c r="B383" s="14" t="s">
        <v>18</v>
      </c>
      <c r="C383" s="12"/>
      <c r="D383" s="53"/>
      <c r="E383" s="13"/>
    </row>
    <row r="384" spans="2:5" ht="12.75" customHeight="1" x14ac:dyDescent="0.2">
      <c r="B384" s="15"/>
      <c r="C384" s="190" t="s">
        <v>24</v>
      </c>
      <c r="D384" s="190"/>
      <c r="E384" s="190"/>
    </row>
    <row r="385" spans="2:5" x14ac:dyDescent="0.2">
      <c r="B385" s="14" t="s">
        <v>19</v>
      </c>
      <c r="C385" s="16"/>
      <c r="D385" s="16"/>
      <c r="E385" s="17"/>
    </row>
    <row r="386" spans="2:5" ht="14.25" customHeight="1" x14ac:dyDescent="0.2">
      <c r="B386" s="15"/>
      <c r="C386" s="190" t="s">
        <v>101</v>
      </c>
      <c r="D386" s="190"/>
      <c r="E386" s="190"/>
    </row>
    <row r="387" spans="2:5" x14ac:dyDescent="0.2">
      <c r="B387" s="14" t="s">
        <v>20</v>
      </c>
      <c r="C387" s="12"/>
      <c r="D387" s="53"/>
      <c r="E387" s="13"/>
    </row>
    <row r="388" spans="2:5" ht="11.25" customHeight="1" x14ac:dyDescent="0.2">
      <c r="B388" s="14"/>
      <c r="C388" s="189" t="s">
        <v>25</v>
      </c>
      <c r="D388" s="189"/>
      <c r="E388" s="189"/>
    </row>
    <row r="389" spans="2:5" ht="13.5" thickBot="1" x14ac:dyDescent="0.25">
      <c r="B389" s="18"/>
      <c r="C389" s="19"/>
      <c r="D389" s="54"/>
      <c r="E389" s="20"/>
    </row>
    <row r="390" spans="2:5" ht="13.5" thickBot="1" x14ac:dyDescent="0.25"/>
    <row r="391" spans="2:5" x14ac:dyDescent="0.2">
      <c r="B391" s="8" t="s">
        <v>109</v>
      </c>
      <c r="C391" s="9"/>
      <c r="D391" s="52"/>
      <c r="E391" s="10"/>
    </row>
    <row r="392" spans="2:5" ht="5.25" customHeight="1" x14ac:dyDescent="0.2">
      <c r="B392" s="11"/>
      <c r="C392" s="12"/>
      <c r="D392" s="53"/>
      <c r="E392" s="13"/>
    </row>
    <row r="393" spans="2:5" x14ac:dyDescent="0.2">
      <c r="B393" s="14" t="s">
        <v>16</v>
      </c>
      <c r="C393" s="12"/>
      <c r="D393" s="53"/>
      <c r="E393" s="13"/>
    </row>
    <row r="394" spans="2:5" ht="25.5" customHeight="1" x14ac:dyDescent="0.2">
      <c r="B394" s="14"/>
      <c r="C394" s="190"/>
      <c r="D394" s="190"/>
      <c r="E394" s="190"/>
    </row>
    <row r="395" spans="2:5" ht="13.5" thickBot="1" x14ac:dyDescent="0.25">
      <c r="B395" s="14" t="s">
        <v>17</v>
      </c>
      <c r="C395" s="12"/>
      <c r="D395" s="53"/>
      <c r="E395" s="13"/>
    </row>
    <row r="396" spans="2:5" ht="13.5" thickBot="1" x14ac:dyDescent="0.25">
      <c r="B396" s="176" t="s">
        <v>98</v>
      </c>
      <c r="C396" s="177"/>
      <c r="D396" s="177"/>
      <c r="E396" s="178"/>
    </row>
    <row r="397" spans="2:5" ht="13.5" thickBot="1" x14ac:dyDescent="0.25">
      <c r="B397" s="176" t="s">
        <v>99</v>
      </c>
      <c r="C397" s="178"/>
      <c r="D397" s="50" t="s">
        <v>11</v>
      </c>
      <c r="E397" s="50" t="s">
        <v>100</v>
      </c>
    </row>
    <row r="398" spans="2:5" x14ac:dyDescent="0.2">
      <c r="B398" s="183" t="str">
        <f>'[1]COMEDORES EMERGENTES'!$B$3</f>
        <v>UNA SONRISA AV. LOS COBACHO</v>
      </c>
      <c r="C398" s="184"/>
      <c r="D398" s="94" t="s">
        <v>131</v>
      </c>
      <c r="E398" s="95" t="str">
        <f>'[1]COMEDORES EMERGENTES'!$G$3</f>
        <v>Bº SAN CARLOS OESTE AV. Bonifacio cobacho 670</v>
      </c>
    </row>
    <row r="399" spans="2:5" x14ac:dyDescent="0.2">
      <c r="B399" s="174" t="str">
        <f>'[1]COMEDORES EMERGENTES'!$B$4</f>
        <v>C.I.F Nº1 - RIVERA DEL VALLE Y FLORIDA</v>
      </c>
      <c r="C399" s="175"/>
      <c r="D399" s="89" t="s">
        <v>182</v>
      </c>
      <c r="E399" s="90" t="str">
        <f>'[1]COMEDORES EMERGENTES'!$G$4</f>
        <v>AV. RIVIERA DEL VALLE ENTRE FLORIDA Y SANTA FE</v>
      </c>
    </row>
    <row r="400" spans="2:5" x14ac:dyDescent="0.2">
      <c r="B400" s="174" t="str">
        <f>'[1]COMEDORES EMERGENTES'!$B$5</f>
        <v>C.I.F - RIVERA DEL VALLE - DILORENZO</v>
      </c>
      <c r="C400" s="175"/>
      <c r="D400" s="89" t="s">
        <v>181</v>
      </c>
      <c r="E400" s="90" t="str">
        <f>'[1]COMEDORES EMERGENTES'!$G$5</f>
        <v>Bº RIVERA DEL VALLE ENTRE VILLA EUMELIA Y MONTE CRISTO</v>
      </c>
    </row>
    <row r="401" spans="2:5" x14ac:dyDescent="0.2">
      <c r="B401" s="174" t="str">
        <f>'[1]COMEDORES EMERGENTES'!$B$6</f>
        <v>ESFUERZO PROPIO- Bº ALTOS DE CHOYA</v>
      </c>
      <c r="C401" s="175"/>
      <c r="D401" s="89" t="s">
        <v>171</v>
      </c>
      <c r="E401" s="90" t="str">
        <f>'[1]COMEDORES EMERGENTES'!$G$6</f>
        <v>Bº MUNICIPAL 35VV. NORTE C/14</v>
      </c>
    </row>
    <row r="402" spans="2:5" x14ac:dyDescent="0.2">
      <c r="B402" s="174" t="str">
        <f>'[1]COMEDORES EMERGENTES'!$B$7</f>
        <v>ANGELITOS - LOTEO SUSSEX</v>
      </c>
      <c r="C402" s="175"/>
      <c r="D402" s="89" t="s">
        <v>146</v>
      </c>
      <c r="E402" s="90" t="str">
        <f>'[1]COMEDORES EMERGENTES'!$G$7</f>
        <v>Bº LOTEO SUSEX MZA.Nº 4 LOTE Nº3</v>
      </c>
    </row>
    <row r="403" spans="2:5" x14ac:dyDescent="0.2">
      <c r="B403" s="174" t="str">
        <f>'[1]COMEDORES EMERGENTES'!$B$8</f>
        <v>CLUB DEPORTIVO CHACARITA</v>
      </c>
      <c r="C403" s="175"/>
      <c r="D403" s="89" t="s">
        <v>183</v>
      </c>
      <c r="E403" s="90" t="str">
        <f>'[1]COMEDORES EMERGENTES'!$G$8</f>
        <v>CALLE DR.DERMIDIO GALINDEZ C/2660</v>
      </c>
    </row>
    <row r="404" spans="2:5" x14ac:dyDescent="0.2">
      <c r="B404" s="174" t="str">
        <f>'[1]COMEDORES EMERGENTES'!$B$9</f>
        <v>LA MORO</v>
      </c>
      <c r="C404" s="175"/>
      <c r="D404" s="89" t="s">
        <v>141</v>
      </c>
      <c r="E404" s="90" t="str">
        <f>'[1]COMEDORES EMERGENTES'!$G$9</f>
        <v>MAIPU NORTE 1º ETAPA MZA "H" Bº MI JARDIN</v>
      </c>
    </row>
    <row r="405" spans="2:5" x14ac:dyDescent="0.2">
      <c r="B405" s="174" t="str">
        <f>'[1]COMEDORES EMERGENTES'!$B$10</f>
        <v>PAPA FRANCISCO</v>
      </c>
      <c r="C405" s="175"/>
      <c r="D405" s="89" t="s">
        <v>153</v>
      </c>
      <c r="E405" s="90" t="str">
        <f>'[1]COMEDORES EMERGENTES'!$G$10</f>
        <v>ENTRE AV.TEREBINTO Y AV.SAN JUAN LOTE "2" MZA. "B"</v>
      </c>
    </row>
    <row r="406" spans="2:5" x14ac:dyDescent="0.2">
      <c r="B406" s="174" t="str">
        <f>'[1]COMEDORES EMERGENTES'!$B$11</f>
        <v>E.P.C - 100 V.V NORTE</v>
      </c>
      <c r="C406" s="175"/>
      <c r="D406" s="89" t="s">
        <v>184</v>
      </c>
      <c r="E406" s="90" t="str">
        <f>'[1]COMEDORES EMERGENTES'!$G$11</f>
        <v>Bº VV NORTE C/48 ENTRE ESPAÑA Y FRANCIA</v>
      </c>
    </row>
    <row r="407" spans="2:5" x14ac:dyDescent="0.2">
      <c r="B407" s="174" t="str">
        <f>'[1]COMEDORES EMERGENTES'!$B$12</f>
        <v>HOGAR DE CRISTO - PADRE RAUL CONTRERAS</v>
      </c>
      <c r="C407" s="175"/>
      <c r="D407" s="89" t="s">
        <v>184</v>
      </c>
      <c r="E407" s="90" t="str">
        <f>'[1]COMEDORES EMERGENTES'!$G$12</f>
        <v>Bº SANTA MARTA MZA. "S" LOTE "M" C/39</v>
      </c>
    </row>
    <row r="408" spans="2:5" x14ac:dyDescent="0.2">
      <c r="B408" s="174" t="str">
        <f>'[1]COMEDORES EMERGENTES'!$B$13</f>
        <v>LA LUCIERNAGA</v>
      </c>
      <c r="C408" s="175"/>
      <c r="D408" s="89" t="s">
        <v>153</v>
      </c>
      <c r="E408" s="90" t="str">
        <f>'[1]COMEDORES EMERGENTES'!$G$13</f>
        <v>Bº 20 V.V NORTE C/3</v>
      </c>
    </row>
    <row r="409" spans="2:5" x14ac:dyDescent="0.2">
      <c r="B409" s="174" t="str">
        <f>'[1]COMEDORES EMERGENTES'!$B$14</f>
        <v>VALLE VIEJO - SUMALAO</v>
      </c>
      <c r="C409" s="175"/>
      <c r="D409" s="89" t="s">
        <v>175</v>
      </c>
      <c r="E409" s="90" t="str">
        <f>'[1]COMEDORES EMERGENTES'!$G$14</f>
        <v>PADRE SEGURA S/N</v>
      </c>
    </row>
    <row r="410" spans="2:5" x14ac:dyDescent="0.2">
      <c r="B410" s="174" t="str">
        <f>'[1]COMEDORES EMERGENTES'!$B$15</f>
        <v>NUESTRO FUTURO - LAS VIAS</v>
      </c>
      <c r="C410" s="175"/>
      <c r="D410" s="89" t="s">
        <v>153</v>
      </c>
      <c r="E410" s="90" t="str">
        <f>'[1]COMEDORES EMERGENTES'!$G$15</f>
        <v>Bº LAS VIAS OESTE LOTE 42</v>
      </c>
    </row>
    <row r="411" spans="2:5" x14ac:dyDescent="0.2">
      <c r="B411" s="174" t="str">
        <f>'[1]COMEDORES EMERGENTES'!$B$16</f>
        <v>SAN JOSE OBRERO</v>
      </c>
      <c r="C411" s="175"/>
      <c r="D411" s="89" t="s">
        <v>183</v>
      </c>
      <c r="E411" s="90" t="str">
        <f>'[1]COMEDORES EMERGENTES'!$G$16</f>
        <v>Bº SAN JOSE OBRERO. PJE. SANDOVAL S/Nº</v>
      </c>
    </row>
    <row r="412" spans="2:5" x14ac:dyDescent="0.2">
      <c r="B412" s="174" t="str">
        <f>'[1]COMEDORES EMERGENTES'!$B$17</f>
        <v>VIRGEN DE LUJAN</v>
      </c>
      <c r="C412" s="175"/>
      <c r="D412" s="89" t="s">
        <v>153</v>
      </c>
      <c r="E412" s="90" t="str">
        <f>'[1]COMEDORES EMERGENTES'!$G$17</f>
        <v>Bº OJO DE AGUA C/DR.TEODULFO BARRIONUEVO S/Nº</v>
      </c>
    </row>
    <row r="413" spans="2:5" x14ac:dyDescent="0.2">
      <c r="B413" s="174" t="str">
        <f>'[1]COMEDORES EMERGENTES'!$B$18</f>
        <v>RENACER</v>
      </c>
      <c r="C413" s="175"/>
      <c r="D413" s="89" t="s">
        <v>185</v>
      </c>
      <c r="E413" s="90" t="str">
        <f>'[1]COMEDORES EMERGENTES'!$G$18</f>
        <v>Bº VIRGEN MORENITA</v>
      </c>
    </row>
    <row r="414" spans="2:5" x14ac:dyDescent="0.2">
      <c r="B414" s="174" t="str">
        <f>'[1]COMEDORES EMERGENTES'!$B$19</f>
        <v>CENTRO VECINAL MI JARDIN</v>
      </c>
      <c r="C414" s="175"/>
      <c r="D414" s="89" t="s">
        <v>154</v>
      </c>
      <c r="E414" s="90" t="str">
        <f>'[1]COMEDORES EMERGENTES'!$G$19</f>
        <v>C/ LOS TULIPANES ENTRE FLOR DE CEREZO Y HOLANDA MZA.27 Bº MI JARDIN</v>
      </c>
    </row>
    <row r="415" spans="2:5" x14ac:dyDescent="0.2">
      <c r="B415" s="174" t="str">
        <f>'[1]COMEDORES EMERGENTES'!$B$20</f>
        <v>LA VIEJA ESQUINA</v>
      </c>
      <c r="C415" s="175"/>
      <c r="D415" s="89" t="s">
        <v>139</v>
      </c>
      <c r="E415" s="90" t="str">
        <f>'[1]COMEDORES EMERGENTES'!$G$20</f>
        <v>B° CRISTO REY PJE CAPATAZ VILLAFAÑEZ Y ARMANDO CORREA</v>
      </c>
    </row>
    <row r="416" spans="2:5" x14ac:dyDescent="0.2">
      <c r="B416" s="174" t="str">
        <f>'[1]COMEDORES EMERGENTES'!$B$21</f>
        <v>GAUCHITO GIL</v>
      </c>
      <c r="C416" s="175"/>
      <c r="D416" s="89" t="s">
        <v>186</v>
      </c>
      <c r="E416" s="90" t="str">
        <f>'[1]COMEDORES EMERGENTES'!$G$21</f>
        <v>B° 26 VIVIENDAS CASA N° 3</v>
      </c>
    </row>
    <row r="417" spans="2:5" ht="13.5" thickBot="1" x14ac:dyDescent="0.25">
      <c r="B417" s="191" t="str">
        <f>'[1]COMEDORES EMERGENTES'!$B$22</f>
        <v>LOS TOLDOS</v>
      </c>
      <c r="C417" s="192"/>
      <c r="D417" s="96" t="s">
        <v>130</v>
      </c>
      <c r="E417" s="97" t="str">
        <f>'[1]COMEDORES EMERGENTES'!$G$22</f>
        <v>LOTEO PARQUE SUR CALLE S/NOMBRE S/N°</v>
      </c>
    </row>
    <row r="418" spans="2:5" x14ac:dyDescent="0.2">
      <c r="B418" s="14" t="s">
        <v>18</v>
      </c>
      <c r="C418" s="12"/>
      <c r="D418" s="53"/>
      <c r="E418" s="13"/>
    </row>
    <row r="419" spans="2:5" ht="12.75" customHeight="1" x14ac:dyDescent="0.2">
      <c r="B419" s="15"/>
      <c r="C419" s="190" t="s">
        <v>24</v>
      </c>
      <c r="D419" s="190"/>
      <c r="E419" s="190"/>
    </row>
    <row r="420" spans="2:5" x14ac:dyDescent="0.2">
      <c r="B420" s="14" t="s">
        <v>19</v>
      </c>
      <c r="C420" s="16"/>
      <c r="D420" s="16"/>
      <c r="E420" s="17"/>
    </row>
    <row r="421" spans="2:5" ht="14.25" customHeight="1" x14ac:dyDescent="0.2">
      <c r="B421" s="15"/>
      <c r="C421" s="190" t="s">
        <v>101</v>
      </c>
      <c r="D421" s="190"/>
      <c r="E421" s="190"/>
    </row>
    <row r="422" spans="2:5" x14ac:dyDescent="0.2">
      <c r="B422" s="14" t="s">
        <v>20</v>
      </c>
      <c r="C422" s="12"/>
      <c r="D422" s="53"/>
      <c r="E422" s="13"/>
    </row>
    <row r="423" spans="2:5" ht="11.25" customHeight="1" x14ac:dyDescent="0.2">
      <c r="B423" s="14"/>
      <c r="C423" s="189" t="s">
        <v>25</v>
      </c>
      <c r="D423" s="189"/>
      <c r="E423" s="189"/>
    </row>
    <row r="424" spans="2:5" ht="13.5" thickBot="1" x14ac:dyDescent="0.25">
      <c r="B424" s="18"/>
      <c r="C424" s="19"/>
      <c r="D424" s="54"/>
      <c r="E424" s="20"/>
    </row>
    <row r="425" spans="2:5" ht="13.5" thickBot="1" x14ac:dyDescent="0.25"/>
    <row r="426" spans="2:5" x14ac:dyDescent="0.2">
      <c r="B426" s="8" t="s">
        <v>110</v>
      </c>
      <c r="C426" s="9"/>
      <c r="D426" s="52"/>
      <c r="E426" s="10"/>
    </row>
    <row r="427" spans="2:5" x14ac:dyDescent="0.2">
      <c r="B427" s="11"/>
      <c r="C427" s="12"/>
      <c r="D427" s="53"/>
      <c r="E427" s="13"/>
    </row>
    <row r="428" spans="2:5" x14ac:dyDescent="0.2">
      <c r="B428" s="14" t="s">
        <v>16</v>
      </c>
      <c r="C428" s="12"/>
      <c r="D428" s="53"/>
      <c r="E428" s="13"/>
    </row>
    <row r="429" spans="2:5" ht="25.5" customHeight="1" x14ac:dyDescent="0.2">
      <c r="B429" s="14"/>
      <c r="C429" s="190"/>
      <c r="D429" s="190"/>
      <c r="E429" s="190"/>
    </row>
    <row r="430" spans="2:5" ht="13.5" thickBot="1" x14ac:dyDescent="0.25">
      <c r="B430" s="14" t="s">
        <v>17</v>
      </c>
      <c r="C430" s="12"/>
      <c r="D430" s="53"/>
      <c r="E430" s="13"/>
    </row>
    <row r="431" spans="2:5" ht="13.5" thickBot="1" x14ac:dyDescent="0.25">
      <c r="B431" s="176" t="s">
        <v>98</v>
      </c>
      <c r="C431" s="177"/>
      <c r="D431" s="177"/>
      <c r="E431" s="178"/>
    </row>
    <row r="432" spans="2:5" ht="13.5" thickBot="1" x14ac:dyDescent="0.25">
      <c r="B432" s="176" t="s">
        <v>99</v>
      </c>
      <c r="C432" s="178"/>
      <c r="D432" s="50" t="s">
        <v>11</v>
      </c>
      <c r="E432" s="50" t="s">
        <v>100</v>
      </c>
    </row>
    <row r="433" spans="2:5" x14ac:dyDescent="0.2">
      <c r="B433" s="183" t="str">
        <f>'[1]COMEDORES EMERGENTES'!$B$3</f>
        <v>UNA SONRISA AV. LOS COBACHO</v>
      </c>
      <c r="C433" s="184"/>
      <c r="D433" s="94">
        <v>48</v>
      </c>
      <c r="E433" s="95" t="str">
        <f>'[1]COMEDORES EMERGENTES'!$G$3</f>
        <v>Bº SAN CARLOS OESTE AV. Bonifacio cobacho 670</v>
      </c>
    </row>
    <row r="434" spans="2:5" x14ac:dyDescent="0.2">
      <c r="B434" s="174" t="str">
        <f>'[1]COMEDORES EMERGENTES'!$B$4</f>
        <v>C.I.F Nº1 - RIVERA DEL VALLE Y FLORIDA</v>
      </c>
      <c r="C434" s="175"/>
      <c r="D434" s="89">
        <v>69</v>
      </c>
      <c r="E434" s="90" t="str">
        <f>'[1]COMEDORES EMERGENTES'!$G$4</f>
        <v>AV. RIVIERA DEL VALLE ENTRE FLORIDA Y SANTA FE</v>
      </c>
    </row>
    <row r="435" spans="2:5" x14ac:dyDescent="0.2">
      <c r="B435" s="174" t="str">
        <f>'[1]COMEDORES EMERGENTES'!$B$5</f>
        <v>C.I.F - RIVERA DEL VALLE - DILORENZO</v>
      </c>
      <c r="C435" s="175"/>
      <c r="D435" s="89">
        <v>81</v>
      </c>
      <c r="E435" s="90" t="str">
        <f>'[1]COMEDORES EMERGENTES'!$G$5</f>
        <v>Bº RIVERA DEL VALLE ENTRE VILLA EUMELIA Y MONTE CRISTO</v>
      </c>
    </row>
    <row r="436" spans="2:5" x14ac:dyDescent="0.2">
      <c r="B436" s="174" t="str">
        <f>'[1]COMEDORES EMERGENTES'!$B$6</f>
        <v>ESFUERZO PROPIO- Bº ALTOS DE CHOYA</v>
      </c>
      <c r="C436" s="175"/>
      <c r="D436" s="89">
        <v>66</v>
      </c>
      <c r="E436" s="90" t="str">
        <f>'[1]COMEDORES EMERGENTES'!$G$6</f>
        <v>Bº MUNICIPAL 35VV. NORTE C/14</v>
      </c>
    </row>
    <row r="437" spans="2:5" x14ac:dyDescent="0.2">
      <c r="B437" s="174" t="str">
        <f>'[1]COMEDORES EMERGENTES'!$B$7</f>
        <v>ANGELITOS - LOTEO SUSSEX</v>
      </c>
      <c r="C437" s="175"/>
      <c r="D437" s="89">
        <v>30</v>
      </c>
      <c r="E437" s="90" t="str">
        <f>'[1]COMEDORES EMERGENTES'!$G$7</f>
        <v>Bº LOTEO SUSEX MZA.Nº 4 LOTE Nº3</v>
      </c>
    </row>
    <row r="438" spans="2:5" x14ac:dyDescent="0.2">
      <c r="B438" s="174" t="str">
        <f>'[1]COMEDORES EMERGENTES'!$B$8</f>
        <v>CLUB DEPORTIVO CHACARITA</v>
      </c>
      <c r="C438" s="175"/>
      <c r="D438" s="89">
        <v>39</v>
      </c>
      <c r="E438" s="90" t="str">
        <f>'[1]COMEDORES EMERGENTES'!$G$8</f>
        <v>CALLE DR.DERMIDIO GALINDEZ C/2660</v>
      </c>
    </row>
    <row r="439" spans="2:5" x14ac:dyDescent="0.2">
      <c r="B439" s="174" t="str">
        <f>'[1]COMEDORES EMERGENTES'!$B$9</f>
        <v>LA MORO</v>
      </c>
      <c r="C439" s="175"/>
      <c r="D439" s="89">
        <v>36</v>
      </c>
      <c r="E439" s="90" t="str">
        <f>'[1]COMEDORES EMERGENTES'!$G$9</f>
        <v>MAIPU NORTE 1º ETAPA MZA "H" Bº MI JARDIN</v>
      </c>
    </row>
    <row r="440" spans="2:5" x14ac:dyDescent="0.2">
      <c r="B440" s="174" t="str">
        <f>'[1]COMEDORES EMERGENTES'!$B$10</f>
        <v>PAPA FRANCISCO</v>
      </c>
      <c r="C440" s="175"/>
      <c r="D440" s="89">
        <v>60</v>
      </c>
      <c r="E440" s="90" t="str">
        <f>'[1]COMEDORES EMERGENTES'!$G$10</f>
        <v>ENTRE AV.TEREBINTO Y AV.SAN JUAN LOTE "2" MZA. "B"</v>
      </c>
    </row>
    <row r="441" spans="2:5" x14ac:dyDescent="0.2">
      <c r="B441" s="174" t="str">
        <f>'[1]COMEDORES EMERGENTES'!$B$11</f>
        <v>E.P.C - 100 V.V NORTE</v>
      </c>
      <c r="C441" s="175"/>
      <c r="D441" s="89">
        <v>90</v>
      </c>
      <c r="E441" s="90" t="str">
        <f>'[1]COMEDORES EMERGENTES'!$G$11</f>
        <v>Bº VV NORTE C/48 ENTRE ESPAÑA Y FRANCIA</v>
      </c>
    </row>
    <row r="442" spans="2:5" x14ac:dyDescent="0.2">
      <c r="B442" s="174" t="str">
        <f>'[1]COMEDORES EMERGENTES'!$B$12</f>
        <v>HOGAR DE CRISTO - PADRE RAUL CONTRERAS</v>
      </c>
      <c r="C442" s="175"/>
      <c r="D442" s="89">
        <v>90</v>
      </c>
      <c r="E442" s="90" t="str">
        <f>'[1]COMEDORES EMERGENTES'!$G$12</f>
        <v>Bº SANTA MARTA MZA. "S" LOTE "M" C/39</v>
      </c>
    </row>
    <row r="443" spans="2:5" x14ac:dyDescent="0.2">
      <c r="B443" s="174" t="str">
        <f>'[1]COMEDORES EMERGENTES'!$B$13</f>
        <v>LA LUCIERNAGA</v>
      </c>
      <c r="C443" s="175"/>
      <c r="D443" s="89">
        <v>60</v>
      </c>
      <c r="E443" s="90" t="str">
        <f>'[1]COMEDORES EMERGENTES'!$G$13</f>
        <v>Bº 20 V.V NORTE C/3</v>
      </c>
    </row>
    <row r="444" spans="2:5" x14ac:dyDescent="0.2">
      <c r="B444" s="174" t="str">
        <f>'[1]COMEDORES EMERGENTES'!$B$14</f>
        <v>VALLE VIEJO - SUMALAO</v>
      </c>
      <c r="C444" s="175"/>
      <c r="D444" s="89">
        <v>105</v>
      </c>
      <c r="E444" s="90" t="str">
        <f>'[1]COMEDORES EMERGENTES'!$G$14</f>
        <v>PADRE SEGURA S/N</v>
      </c>
    </row>
    <row r="445" spans="2:5" x14ac:dyDescent="0.2">
      <c r="B445" s="174" t="str">
        <f>'[1]COMEDORES EMERGENTES'!$B$15</f>
        <v>NUESTRO FUTURO - LAS VIAS</v>
      </c>
      <c r="C445" s="175"/>
      <c r="D445" s="89">
        <v>60</v>
      </c>
      <c r="E445" s="90" t="str">
        <f>'[1]COMEDORES EMERGENTES'!$G$15</f>
        <v>Bº LAS VIAS OESTE LOTE 42</v>
      </c>
    </row>
    <row r="446" spans="2:5" x14ac:dyDescent="0.2">
      <c r="B446" s="174" t="str">
        <f>'[1]COMEDORES EMERGENTES'!$B$16</f>
        <v>SAN JOSE OBRERO</v>
      </c>
      <c r="C446" s="175"/>
      <c r="D446" s="89">
        <v>39</v>
      </c>
      <c r="E446" s="90" t="str">
        <f>'[1]COMEDORES EMERGENTES'!$G$16</f>
        <v>Bº SAN JOSE OBRERO. PJE. SANDOVAL S/Nº</v>
      </c>
    </row>
    <row r="447" spans="2:5" x14ac:dyDescent="0.2">
      <c r="B447" s="174" t="str">
        <f>'[1]COMEDORES EMERGENTES'!$B$17</f>
        <v>VIRGEN DE LUJAN</v>
      </c>
      <c r="C447" s="175"/>
      <c r="D447" s="89">
        <v>60</v>
      </c>
      <c r="E447" s="90" t="str">
        <f>'[1]COMEDORES EMERGENTES'!$G$17</f>
        <v>Bº OJO DE AGUA C/DR.TEODULFO BARRIONUEVO S/Nº</v>
      </c>
    </row>
    <row r="448" spans="2:5" x14ac:dyDescent="0.2">
      <c r="B448" s="174" t="str">
        <f>'[1]COMEDORES EMERGENTES'!$B$18</f>
        <v>RENACER</v>
      </c>
      <c r="C448" s="175"/>
      <c r="D448" s="89">
        <v>75</v>
      </c>
      <c r="E448" s="90" t="str">
        <f>'[1]COMEDORES EMERGENTES'!$G$18</f>
        <v>Bº VIRGEN MORENITA</v>
      </c>
    </row>
    <row r="449" spans="2:5" x14ac:dyDescent="0.2">
      <c r="B449" s="174" t="str">
        <f>'[1]COMEDORES EMERGENTES'!$B$19</f>
        <v>CENTRO VECINAL MI JARDIN</v>
      </c>
      <c r="C449" s="175"/>
      <c r="D449" s="89">
        <v>54</v>
      </c>
      <c r="E449" s="90" t="str">
        <f>'[1]COMEDORES EMERGENTES'!$G$19</f>
        <v>C/ LOS TULIPANES ENTRE FLOR DE CEREZO Y HOLANDA MZA.27 Bº MI JARDIN</v>
      </c>
    </row>
    <row r="450" spans="2:5" x14ac:dyDescent="0.2">
      <c r="B450" s="174" t="str">
        <f>'[1]COMEDORES EMERGENTES'!$B$20</f>
        <v>LA VIEJA ESQUINA</v>
      </c>
      <c r="C450" s="175"/>
      <c r="D450" s="89">
        <v>52</v>
      </c>
      <c r="E450" s="90" t="str">
        <f>'[1]COMEDORES EMERGENTES'!$G$20</f>
        <v>B° CRISTO REY PJE CAPATAZ VILLAFAÑEZ Y ARMANDO CORREA</v>
      </c>
    </row>
    <row r="451" spans="2:5" x14ac:dyDescent="0.2">
      <c r="B451" s="174" t="str">
        <f>'[1]COMEDORES EMERGENTES'!$B$21</f>
        <v>GAUCHITO GIL</v>
      </c>
      <c r="C451" s="175"/>
      <c r="D451" s="89">
        <v>50</v>
      </c>
      <c r="E451" s="90" t="str">
        <f>'[1]COMEDORES EMERGENTES'!$G$21</f>
        <v>B° 26 VIVIENDAS CASA N° 3</v>
      </c>
    </row>
    <row r="452" spans="2:5" ht="13.5" thickBot="1" x14ac:dyDescent="0.25">
      <c r="B452" s="191" t="str">
        <f>'[1]COMEDORES EMERGENTES'!$B$22</f>
        <v>LOS TOLDOS</v>
      </c>
      <c r="C452" s="192"/>
      <c r="D452" s="96">
        <v>24</v>
      </c>
      <c r="E452" s="97" t="str">
        <f>'[1]COMEDORES EMERGENTES'!$G$22</f>
        <v>LOTEO PARQUE SUR CALLE S/NOMBRE S/N°</v>
      </c>
    </row>
    <row r="453" spans="2:5" x14ac:dyDescent="0.2">
      <c r="B453" s="14" t="s">
        <v>18</v>
      </c>
      <c r="C453" s="12"/>
      <c r="D453" s="53"/>
      <c r="E453" s="13"/>
    </row>
    <row r="454" spans="2:5" x14ac:dyDescent="0.2">
      <c r="B454" s="15"/>
      <c r="C454" s="190" t="s">
        <v>24</v>
      </c>
      <c r="D454" s="190"/>
      <c r="E454" s="190"/>
    </row>
    <row r="455" spans="2:5" x14ac:dyDescent="0.2">
      <c r="B455" s="14" t="s">
        <v>19</v>
      </c>
      <c r="C455" s="16"/>
      <c r="D455" s="16"/>
      <c r="E455" s="17"/>
    </row>
    <row r="456" spans="2:5" x14ac:dyDescent="0.2">
      <c r="B456" s="15"/>
      <c r="C456" s="190" t="s">
        <v>101</v>
      </c>
      <c r="D456" s="190"/>
      <c r="E456" s="190"/>
    </row>
    <row r="457" spans="2:5" x14ac:dyDescent="0.2">
      <c r="B457" s="14" t="s">
        <v>20</v>
      </c>
      <c r="C457" s="12"/>
      <c r="D457" s="53"/>
      <c r="E457" s="13"/>
    </row>
    <row r="458" spans="2:5" x14ac:dyDescent="0.2">
      <c r="B458" s="14"/>
      <c r="C458" s="189" t="s">
        <v>25</v>
      </c>
      <c r="D458" s="189"/>
      <c r="E458" s="189"/>
    </row>
    <row r="459" spans="2:5" ht="13.5" thickBot="1" x14ac:dyDescent="0.25">
      <c r="B459" s="18"/>
      <c r="C459" s="19"/>
      <c r="D459" s="54"/>
      <c r="E459" s="20"/>
    </row>
    <row r="460" spans="2:5" ht="13.5" thickBot="1" x14ac:dyDescent="0.25"/>
    <row r="461" spans="2:5" x14ac:dyDescent="0.2">
      <c r="B461" s="8" t="s">
        <v>111</v>
      </c>
      <c r="C461" s="9"/>
      <c r="D461" s="52"/>
      <c r="E461" s="10"/>
    </row>
    <row r="462" spans="2:5" x14ac:dyDescent="0.2">
      <c r="B462" s="11"/>
      <c r="C462" s="12"/>
      <c r="D462" s="53"/>
      <c r="E462" s="13"/>
    </row>
    <row r="463" spans="2:5" x14ac:dyDescent="0.2">
      <c r="B463" s="14" t="s">
        <v>16</v>
      </c>
      <c r="C463" s="12"/>
      <c r="D463" s="53"/>
      <c r="E463" s="13"/>
    </row>
    <row r="464" spans="2:5" ht="25.5" customHeight="1" x14ac:dyDescent="0.2">
      <c r="B464" s="14"/>
      <c r="C464" s="190"/>
      <c r="D464" s="190"/>
      <c r="E464" s="190"/>
    </row>
    <row r="465" spans="2:5" ht="13.5" thickBot="1" x14ac:dyDescent="0.25">
      <c r="B465" s="14" t="s">
        <v>17</v>
      </c>
      <c r="C465" s="12"/>
      <c r="D465" s="53"/>
      <c r="E465" s="13"/>
    </row>
    <row r="466" spans="2:5" ht="13.5" thickBot="1" x14ac:dyDescent="0.25">
      <c r="B466" s="176" t="s">
        <v>98</v>
      </c>
      <c r="C466" s="177"/>
      <c r="D466" s="177"/>
      <c r="E466" s="178"/>
    </row>
    <row r="467" spans="2:5" ht="13.5" thickBot="1" x14ac:dyDescent="0.25">
      <c r="B467" s="176" t="s">
        <v>99</v>
      </c>
      <c r="C467" s="178"/>
      <c r="D467" s="50" t="s">
        <v>11</v>
      </c>
      <c r="E467" s="50" t="s">
        <v>100</v>
      </c>
    </row>
    <row r="468" spans="2:5" x14ac:dyDescent="0.2">
      <c r="B468" s="183" t="str">
        <f>'[1]COMEDORES EMERGENTES'!$B$3</f>
        <v>UNA SONRISA AV. LOS COBACHO</v>
      </c>
      <c r="C468" s="184"/>
      <c r="D468" s="94">
        <v>5</v>
      </c>
      <c r="E468" s="95" t="str">
        <f>'[1]COMEDORES EMERGENTES'!$G$3</f>
        <v>Bº SAN CARLOS OESTE AV. Bonifacio cobacho 670</v>
      </c>
    </row>
    <row r="469" spans="2:5" x14ac:dyDescent="0.2">
      <c r="B469" s="174" t="str">
        <f>'[1]COMEDORES EMERGENTES'!$B$4</f>
        <v>C.I.F Nº1 - RIVERA DEL VALLE Y FLORIDA</v>
      </c>
      <c r="C469" s="175"/>
      <c r="D469" s="89">
        <v>7</v>
      </c>
      <c r="E469" s="90" t="str">
        <f>'[1]COMEDORES EMERGENTES'!$G$4</f>
        <v>AV. RIVIERA DEL VALLE ENTRE FLORIDA Y SANTA FE</v>
      </c>
    </row>
    <row r="470" spans="2:5" x14ac:dyDescent="0.2">
      <c r="B470" s="174" t="str">
        <f>'[1]COMEDORES EMERGENTES'!$B$5</f>
        <v>C.I.F - RIVERA DEL VALLE - DILORENZO</v>
      </c>
      <c r="C470" s="175"/>
      <c r="D470" s="89">
        <v>8</v>
      </c>
      <c r="E470" s="90" t="str">
        <f>'[1]COMEDORES EMERGENTES'!$G$5</f>
        <v>Bº RIVERA DEL VALLE ENTRE VILLA EUMELIA Y MONTE CRISTO</v>
      </c>
    </row>
    <row r="471" spans="2:5" x14ac:dyDescent="0.2">
      <c r="B471" s="174" t="str">
        <f>'[1]COMEDORES EMERGENTES'!$B$6</f>
        <v>ESFUERZO PROPIO- Bº ALTOS DE CHOYA</v>
      </c>
      <c r="C471" s="175"/>
      <c r="D471" s="89">
        <v>7</v>
      </c>
      <c r="E471" s="90" t="str">
        <f>'[1]COMEDORES EMERGENTES'!$G$6</f>
        <v>Bº MUNICIPAL 35VV. NORTE C/14</v>
      </c>
    </row>
    <row r="472" spans="2:5" x14ac:dyDescent="0.2">
      <c r="B472" s="174" t="str">
        <f>'[1]COMEDORES EMERGENTES'!$B$7</f>
        <v>ANGELITOS - LOTEO SUSSEX</v>
      </c>
      <c r="C472" s="175"/>
      <c r="D472" s="89">
        <v>3</v>
      </c>
      <c r="E472" s="90" t="str">
        <f>'[1]COMEDORES EMERGENTES'!$G$7</f>
        <v>Bº LOTEO SUSEX MZA.Nº 4 LOTE Nº3</v>
      </c>
    </row>
    <row r="473" spans="2:5" x14ac:dyDescent="0.2">
      <c r="B473" s="174" t="str">
        <f>'[1]COMEDORES EMERGENTES'!$B$8</f>
        <v>CLUB DEPORTIVO CHACARITA</v>
      </c>
      <c r="C473" s="175"/>
      <c r="D473" s="89">
        <v>4</v>
      </c>
      <c r="E473" s="90" t="str">
        <f>'[1]COMEDORES EMERGENTES'!$G$8</f>
        <v>CALLE DR.DERMIDIO GALINDEZ C/2660</v>
      </c>
    </row>
    <row r="474" spans="2:5" x14ac:dyDescent="0.2">
      <c r="B474" s="174" t="str">
        <f>'[1]COMEDORES EMERGENTES'!$B$9</f>
        <v>LA MORO</v>
      </c>
      <c r="C474" s="175"/>
      <c r="D474" s="89">
        <v>4</v>
      </c>
      <c r="E474" s="90" t="str">
        <f>'[1]COMEDORES EMERGENTES'!$G$9</f>
        <v>MAIPU NORTE 1º ETAPA MZA "H" Bº MI JARDIN</v>
      </c>
    </row>
    <row r="475" spans="2:5" x14ac:dyDescent="0.2">
      <c r="B475" s="174" t="str">
        <f>'[1]COMEDORES EMERGENTES'!$B$10</f>
        <v>PAPA FRANCISCO</v>
      </c>
      <c r="C475" s="175"/>
      <c r="D475" s="89">
        <v>6</v>
      </c>
      <c r="E475" s="90" t="str">
        <f>'[1]COMEDORES EMERGENTES'!$G$10</f>
        <v>ENTRE AV.TEREBINTO Y AV.SAN JUAN LOTE "2" MZA. "B"</v>
      </c>
    </row>
    <row r="476" spans="2:5" x14ac:dyDescent="0.2">
      <c r="B476" s="174" t="str">
        <f>'[1]COMEDORES EMERGENTES'!$B$11</f>
        <v>E.P.C - 100 V.V NORTE</v>
      </c>
      <c r="C476" s="175"/>
      <c r="D476" s="89">
        <v>9</v>
      </c>
      <c r="E476" s="90" t="str">
        <f>'[1]COMEDORES EMERGENTES'!$G$11</f>
        <v>Bº VV NORTE C/48 ENTRE ESPAÑA Y FRANCIA</v>
      </c>
    </row>
    <row r="477" spans="2:5" x14ac:dyDescent="0.2">
      <c r="B477" s="174" t="str">
        <f>'[1]COMEDORES EMERGENTES'!$B$12</f>
        <v>HOGAR DE CRISTO - PADRE RAUL CONTRERAS</v>
      </c>
      <c r="C477" s="175"/>
      <c r="D477" s="89">
        <v>9</v>
      </c>
      <c r="E477" s="90" t="str">
        <f>'[1]COMEDORES EMERGENTES'!$G$12</f>
        <v>Bº SANTA MARTA MZA. "S" LOTE "M" C/39</v>
      </c>
    </row>
    <row r="478" spans="2:5" x14ac:dyDescent="0.2">
      <c r="B478" s="174" t="str">
        <f>'[1]COMEDORES EMERGENTES'!$B$13</f>
        <v>LA LUCIERNAGA</v>
      </c>
      <c r="C478" s="175"/>
      <c r="D478" s="89">
        <v>6</v>
      </c>
      <c r="E478" s="90" t="str">
        <f>'[1]COMEDORES EMERGENTES'!$G$13</f>
        <v>Bº 20 V.V NORTE C/3</v>
      </c>
    </row>
    <row r="479" spans="2:5" x14ac:dyDescent="0.2">
      <c r="B479" s="174" t="str">
        <f>'[1]COMEDORES EMERGENTES'!$B$14</f>
        <v>VALLE VIEJO - SUMALAO</v>
      </c>
      <c r="C479" s="175"/>
      <c r="D479" s="89">
        <v>11</v>
      </c>
      <c r="E479" s="90" t="str">
        <f>'[1]COMEDORES EMERGENTES'!$G$14</f>
        <v>PADRE SEGURA S/N</v>
      </c>
    </row>
    <row r="480" spans="2:5" x14ac:dyDescent="0.2">
      <c r="B480" s="174" t="str">
        <f>'[1]COMEDORES EMERGENTES'!$B$15</f>
        <v>NUESTRO FUTURO - LAS VIAS</v>
      </c>
      <c r="C480" s="175"/>
      <c r="D480" s="89">
        <v>6</v>
      </c>
      <c r="E480" s="90" t="str">
        <f>'[1]COMEDORES EMERGENTES'!$G$15</f>
        <v>Bº LAS VIAS OESTE LOTE 42</v>
      </c>
    </row>
    <row r="481" spans="2:5" x14ac:dyDescent="0.2">
      <c r="B481" s="174" t="str">
        <f>'[1]COMEDORES EMERGENTES'!$B$16</f>
        <v>SAN JOSE OBRERO</v>
      </c>
      <c r="C481" s="175"/>
      <c r="D481" s="89">
        <v>4</v>
      </c>
      <c r="E481" s="90" t="str">
        <f>'[1]COMEDORES EMERGENTES'!$G$16</f>
        <v>Bº SAN JOSE OBRERO. PJE. SANDOVAL S/Nº</v>
      </c>
    </row>
    <row r="482" spans="2:5" x14ac:dyDescent="0.2">
      <c r="B482" s="174" t="str">
        <f>'[1]COMEDORES EMERGENTES'!$B$17</f>
        <v>VIRGEN DE LUJAN</v>
      </c>
      <c r="C482" s="175"/>
      <c r="D482" s="89">
        <v>6</v>
      </c>
      <c r="E482" s="90" t="str">
        <f>'[1]COMEDORES EMERGENTES'!$G$17</f>
        <v>Bº OJO DE AGUA C/DR.TEODULFO BARRIONUEVO S/Nº</v>
      </c>
    </row>
    <row r="483" spans="2:5" x14ac:dyDescent="0.2">
      <c r="B483" s="174" t="str">
        <f>'[1]COMEDORES EMERGENTES'!$B$18</f>
        <v>RENACER</v>
      </c>
      <c r="C483" s="175"/>
      <c r="D483" s="89">
        <v>8</v>
      </c>
      <c r="E483" s="90" t="str">
        <f>'[1]COMEDORES EMERGENTES'!$G$18</f>
        <v>Bº VIRGEN MORENITA</v>
      </c>
    </row>
    <row r="484" spans="2:5" x14ac:dyDescent="0.2">
      <c r="B484" s="174" t="str">
        <f>'[1]COMEDORES EMERGENTES'!$B$19</f>
        <v>CENTRO VECINAL MI JARDIN</v>
      </c>
      <c r="C484" s="175"/>
      <c r="D484" s="89">
        <v>5</v>
      </c>
      <c r="E484" s="90" t="str">
        <f>'[1]COMEDORES EMERGENTES'!$G$19</f>
        <v>C/ LOS TULIPANES ENTRE FLOR DE CEREZO Y HOLANDA MZA.27 Bº MI JARDIN</v>
      </c>
    </row>
    <row r="485" spans="2:5" x14ac:dyDescent="0.2">
      <c r="B485" s="174" t="str">
        <f>'[1]COMEDORES EMERGENTES'!$B$20</f>
        <v>LA VIEJA ESQUINA</v>
      </c>
      <c r="C485" s="175"/>
      <c r="D485" s="89">
        <v>5</v>
      </c>
      <c r="E485" s="90" t="str">
        <f>'[1]COMEDORES EMERGENTES'!$G$20</f>
        <v>B° CRISTO REY PJE CAPATAZ VILLAFAÑEZ Y ARMANDO CORREA</v>
      </c>
    </row>
    <row r="486" spans="2:5" x14ac:dyDescent="0.2">
      <c r="B486" s="174" t="str">
        <f>'[1]COMEDORES EMERGENTES'!$B$21</f>
        <v>GAUCHITO GIL</v>
      </c>
      <c r="C486" s="175"/>
      <c r="D486" s="89">
        <v>5</v>
      </c>
      <c r="E486" s="90" t="str">
        <f>'[1]COMEDORES EMERGENTES'!$G$21</f>
        <v>B° 26 VIVIENDAS CASA N° 3</v>
      </c>
    </row>
    <row r="487" spans="2:5" ht="13.5" thickBot="1" x14ac:dyDescent="0.25">
      <c r="B487" s="191" t="str">
        <f>'[1]COMEDORES EMERGENTES'!$B$22</f>
        <v>LOS TOLDOS</v>
      </c>
      <c r="C487" s="192"/>
      <c r="D487" s="96">
        <v>2</v>
      </c>
      <c r="E487" s="97" t="str">
        <f>'[1]COMEDORES EMERGENTES'!$G$22</f>
        <v>LOTEO PARQUE SUR CALLE S/NOMBRE S/N°</v>
      </c>
    </row>
    <row r="488" spans="2:5" x14ac:dyDescent="0.2">
      <c r="B488" s="14" t="s">
        <v>18</v>
      </c>
      <c r="C488" s="12"/>
      <c r="D488" s="53"/>
      <c r="E488" s="13"/>
    </row>
    <row r="489" spans="2:5" x14ac:dyDescent="0.2">
      <c r="B489" s="15"/>
      <c r="C489" s="190" t="s">
        <v>24</v>
      </c>
      <c r="D489" s="190"/>
      <c r="E489" s="190"/>
    </row>
    <row r="490" spans="2:5" x14ac:dyDescent="0.2">
      <c r="B490" s="14" t="s">
        <v>19</v>
      </c>
      <c r="C490" s="16"/>
      <c r="D490" s="16"/>
      <c r="E490" s="17"/>
    </row>
    <row r="491" spans="2:5" x14ac:dyDescent="0.2">
      <c r="B491" s="15"/>
      <c r="C491" s="190" t="s">
        <v>101</v>
      </c>
      <c r="D491" s="190"/>
      <c r="E491" s="190"/>
    </row>
    <row r="492" spans="2:5" x14ac:dyDescent="0.2">
      <c r="B492" s="14" t="s">
        <v>20</v>
      </c>
      <c r="C492" s="12"/>
      <c r="D492" s="53"/>
      <c r="E492" s="13"/>
    </row>
    <row r="493" spans="2:5" x14ac:dyDescent="0.2">
      <c r="B493" s="14"/>
      <c r="C493" s="189" t="s">
        <v>25</v>
      </c>
      <c r="D493" s="189"/>
      <c r="E493" s="189"/>
    </row>
    <row r="494" spans="2:5" ht="13.5" thickBot="1" x14ac:dyDescent="0.25">
      <c r="B494" s="18"/>
      <c r="C494" s="19"/>
      <c r="D494" s="54"/>
      <c r="E494" s="20"/>
    </row>
    <row r="495" spans="2:5" ht="13.5" thickBot="1" x14ac:dyDescent="0.25"/>
    <row r="496" spans="2:5" x14ac:dyDescent="0.2">
      <c r="B496" s="8" t="s">
        <v>112</v>
      </c>
      <c r="C496" s="9"/>
      <c r="D496" s="52"/>
      <c r="E496" s="10"/>
    </row>
    <row r="497" spans="2:5" x14ac:dyDescent="0.2">
      <c r="B497" s="11"/>
      <c r="C497" s="12"/>
      <c r="D497" s="53"/>
      <c r="E497" s="13"/>
    </row>
    <row r="498" spans="2:5" x14ac:dyDescent="0.2">
      <c r="B498" s="14" t="s">
        <v>16</v>
      </c>
      <c r="C498" s="12"/>
      <c r="D498" s="53"/>
      <c r="E498" s="13"/>
    </row>
    <row r="499" spans="2:5" ht="25.5" customHeight="1" x14ac:dyDescent="0.2">
      <c r="B499" s="14"/>
      <c r="C499" s="190"/>
      <c r="D499" s="190"/>
      <c r="E499" s="190"/>
    </row>
    <row r="500" spans="2:5" ht="13.5" thickBot="1" x14ac:dyDescent="0.25">
      <c r="B500" s="14" t="s">
        <v>17</v>
      </c>
      <c r="C500" s="12"/>
      <c r="D500" s="53"/>
      <c r="E500" s="13"/>
    </row>
    <row r="501" spans="2:5" ht="13.5" thickBot="1" x14ac:dyDescent="0.25">
      <c r="B501" s="176" t="s">
        <v>98</v>
      </c>
      <c r="C501" s="177"/>
      <c r="D501" s="177"/>
      <c r="E501" s="178"/>
    </row>
    <row r="502" spans="2:5" ht="13.5" thickBot="1" x14ac:dyDescent="0.25">
      <c r="B502" s="176" t="s">
        <v>99</v>
      </c>
      <c r="C502" s="178"/>
      <c r="D502" s="50" t="s">
        <v>11</v>
      </c>
      <c r="E502" s="50" t="s">
        <v>100</v>
      </c>
    </row>
    <row r="503" spans="2:5" x14ac:dyDescent="0.2">
      <c r="B503" s="183" t="str">
        <f>'[1]COMEDORES EMERGENTES'!$B$3</f>
        <v>UNA SONRISA AV. LOS COBACHO</v>
      </c>
      <c r="C503" s="184"/>
      <c r="D503" s="94" t="s">
        <v>164</v>
      </c>
      <c r="E503" s="95" t="str">
        <f>'[1]COMEDORES EMERGENTES'!$G$3</f>
        <v>Bº SAN CARLOS OESTE AV. Bonifacio cobacho 670</v>
      </c>
    </row>
    <row r="504" spans="2:5" x14ac:dyDescent="0.2">
      <c r="B504" s="174" t="str">
        <f>'[1]COMEDORES EMERGENTES'!$B$4</f>
        <v>C.I.F Nº1 - RIVERA DEL VALLE Y FLORIDA</v>
      </c>
      <c r="C504" s="175"/>
      <c r="D504" s="89" t="s">
        <v>163</v>
      </c>
      <c r="E504" s="90" t="str">
        <f>'[1]COMEDORES EMERGENTES'!$G$4</f>
        <v>AV. RIVIERA DEL VALLE ENTRE FLORIDA Y SANTA FE</v>
      </c>
    </row>
    <row r="505" spans="2:5" x14ac:dyDescent="0.2">
      <c r="B505" s="174" t="str">
        <f>'[1]COMEDORES EMERGENTES'!$B$5</f>
        <v>C.I.F - RIVERA DEL VALLE - DILORENZO</v>
      </c>
      <c r="C505" s="175"/>
      <c r="D505" s="89" t="s">
        <v>140</v>
      </c>
      <c r="E505" s="90" t="str">
        <f>'[1]COMEDORES EMERGENTES'!$G$5</f>
        <v>Bº RIVERA DEL VALLE ENTRE VILLA EUMELIA Y MONTE CRISTO</v>
      </c>
    </row>
    <row r="506" spans="2:5" x14ac:dyDescent="0.2">
      <c r="B506" s="174" t="str">
        <f>'[1]COMEDORES EMERGENTES'!$B$6</f>
        <v>ESFUERZO PROPIO- Bº ALTOS DE CHOYA</v>
      </c>
      <c r="C506" s="175"/>
      <c r="D506" s="89" t="s">
        <v>146</v>
      </c>
      <c r="E506" s="90" t="str">
        <f>'[1]COMEDORES EMERGENTES'!$G$6</f>
        <v>Bº MUNICIPAL 35VV. NORTE C/14</v>
      </c>
    </row>
    <row r="507" spans="2:5" x14ac:dyDescent="0.2">
      <c r="B507" s="174" t="str">
        <f>'[1]COMEDORES EMERGENTES'!$B$7</f>
        <v>ANGELITOS - LOTEO SUSSEX</v>
      </c>
      <c r="C507" s="175"/>
      <c r="D507" s="89" t="s">
        <v>187</v>
      </c>
      <c r="E507" s="90" t="str">
        <f>'[1]COMEDORES EMERGENTES'!$G$7</f>
        <v>Bº LOTEO SUSEX MZA.Nº 4 LOTE Nº3</v>
      </c>
    </row>
    <row r="508" spans="2:5" x14ac:dyDescent="0.2">
      <c r="B508" s="174" t="str">
        <f>'[1]COMEDORES EMERGENTES'!$B$8</f>
        <v>CLUB DEPORTIVO CHACARITA</v>
      </c>
      <c r="C508" s="175"/>
      <c r="D508" s="89" t="s">
        <v>145</v>
      </c>
      <c r="E508" s="90" t="str">
        <f>'[1]COMEDORES EMERGENTES'!$G$8</f>
        <v>CALLE DR.DERMIDIO GALINDEZ C/2660</v>
      </c>
    </row>
    <row r="509" spans="2:5" x14ac:dyDescent="0.2">
      <c r="B509" s="174" t="str">
        <f>'[1]COMEDORES EMERGENTES'!$B$9</f>
        <v>LA MORO</v>
      </c>
      <c r="C509" s="175"/>
      <c r="D509" s="89" t="s">
        <v>162</v>
      </c>
      <c r="E509" s="90" t="str">
        <f>'[1]COMEDORES EMERGENTES'!$G$9</f>
        <v>MAIPU NORTE 1º ETAPA MZA "H" Bº MI JARDIN</v>
      </c>
    </row>
    <row r="510" spans="2:5" x14ac:dyDescent="0.2">
      <c r="B510" s="174" t="str">
        <f>'[1]COMEDORES EMERGENTES'!$B$10</f>
        <v>PAPA FRANCISCO</v>
      </c>
      <c r="C510" s="175"/>
      <c r="D510" s="89" t="s">
        <v>135</v>
      </c>
      <c r="E510" s="90" t="str">
        <f>'[1]COMEDORES EMERGENTES'!$G$10</f>
        <v>ENTRE AV.TEREBINTO Y AV.SAN JUAN LOTE "2" MZA. "B"</v>
      </c>
    </row>
    <row r="511" spans="2:5" x14ac:dyDescent="0.2">
      <c r="B511" s="174" t="str">
        <f>'[1]COMEDORES EMERGENTES'!$B$11</f>
        <v>E.P.C - 100 V.V NORTE</v>
      </c>
      <c r="C511" s="175"/>
      <c r="D511" s="89" t="s">
        <v>136</v>
      </c>
      <c r="E511" s="90" t="str">
        <f>'[1]COMEDORES EMERGENTES'!$G$11</f>
        <v>Bº VV NORTE C/48 ENTRE ESPAÑA Y FRANCIA</v>
      </c>
    </row>
    <row r="512" spans="2:5" x14ac:dyDescent="0.2">
      <c r="B512" s="174" t="str">
        <f>'[1]COMEDORES EMERGENTES'!$B$12</f>
        <v>HOGAR DE CRISTO - PADRE RAUL CONTRERAS</v>
      </c>
      <c r="C512" s="175"/>
      <c r="D512" s="89" t="s">
        <v>136</v>
      </c>
      <c r="E512" s="90" t="str">
        <f>'[1]COMEDORES EMERGENTES'!$G$12</f>
        <v>Bº SANTA MARTA MZA. "S" LOTE "M" C/39</v>
      </c>
    </row>
    <row r="513" spans="2:5" x14ac:dyDescent="0.2">
      <c r="B513" s="174" t="str">
        <f>'[1]COMEDORES EMERGENTES'!$B$13</f>
        <v>LA LUCIERNAGA</v>
      </c>
      <c r="C513" s="175"/>
      <c r="D513" s="89" t="s">
        <v>135</v>
      </c>
      <c r="E513" s="90" t="str">
        <f>'[1]COMEDORES EMERGENTES'!$G$13</f>
        <v>Bº 20 V.V NORTE C/3</v>
      </c>
    </row>
    <row r="514" spans="2:5" x14ac:dyDescent="0.2">
      <c r="B514" s="174" t="str">
        <f>'[1]COMEDORES EMERGENTES'!$B$14</f>
        <v>VALLE VIEJO - SUMALAO</v>
      </c>
      <c r="C514" s="175"/>
      <c r="D514" s="89" t="s">
        <v>131</v>
      </c>
      <c r="E514" s="90" t="str">
        <f>'[1]COMEDORES EMERGENTES'!$G$14</f>
        <v>PADRE SEGURA S/N</v>
      </c>
    </row>
    <row r="515" spans="2:5" x14ac:dyDescent="0.2">
      <c r="B515" s="174" t="str">
        <f>'[1]COMEDORES EMERGENTES'!$B$15</f>
        <v>NUESTRO FUTURO - LAS VIAS</v>
      </c>
      <c r="C515" s="175"/>
      <c r="D515" s="89" t="s">
        <v>135</v>
      </c>
      <c r="E515" s="90" t="str">
        <f>'[1]COMEDORES EMERGENTES'!$G$15</f>
        <v>Bº LAS VIAS OESTE LOTE 42</v>
      </c>
    </row>
    <row r="516" spans="2:5" x14ac:dyDescent="0.2">
      <c r="B516" s="174" t="str">
        <f>'[1]COMEDORES EMERGENTES'!$B$16</f>
        <v>SAN JOSE OBRERO</v>
      </c>
      <c r="C516" s="175"/>
      <c r="D516" s="89" t="s">
        <v>145</v>
      </c>
      <c r="E516" s="90" t="str">
        <f>'[1]COMEDORES EMERGENTES'!$G$16</f>
        <v>Bº SAN JOSE OBRERO. PJE. SANDOVAL S/Nº</v>
      </c>
    </row>
    <row r="517" spans="2:5" x14ac:dyDescent="0.2">
      <c r="B517" s="174" t="str">
        <f>'[1]COMEDORES EMERGENTES'!$B$17</f>
        <v>VIRGEN DE LUJAN</v>
      </c>
      <c r="C517" s="175"/>
      <c r="D517" s="89" t="s">
        <v>135</v>
      </c>
      <c r="E517" s="90" t="str">
        <f>'[1]COMEDORES EMERGENTES'!$G$17</f>
        <v>Bº OJO DE AGUA C/DR.TEODULFO BARRIONUEVO S/Nº</v>
      </c>
    </row>
    <row r="518" spans="2:5" x14ac:dyDescent="0.2">
      <c r="B518" s="174" t="str">
        <f>'[1]COMEDORES EMERGENTES'!$B$18</f>
        <v>RENACER</v>
      </c>
      <c r="C518" s="175"/>
      <c r="D518" s="89" t="s">
        <v>142</v>
      </c>
      <c r="E518" s="90" t="str">
        <f>'[1]COMEDORES EMERGENTES'!$G$18</f>
        <v>Bº VIRGEN MORENITA</v>
      </c>
    </row>
    <row r="519" spans="2:5" x14ac:dyDescent="0.2">
      <c r="B519" s="174" t="str">
        <f>'[1]COMEDORES EMERGENTES'!$B$19</f>
        <v>CENTRO VECINAL MI JARDIN</v>
      </c>
      <c r="C519" s="175"/>
      <c r="D519" s="89" t="s">
        <v>130</v>
      </c>
      <c r="E519" s="90" t="str">
        <f>'[1]COMEDORES EMERGENTES'!$G$19</f>
        <v>C/ LOS TULIPANES ENTRE FLOR DE CEREZO Y HOLANDA MZA.27 Bº MI JARDIN</v>
      </c>
    </row>
    <row r="520" spans="2:5" x14ac:dyDescent="0.2">
      <c r="B520" s="174" t="str">
        <f>'[1]COMEDORES EMERGENTES'!$B$20</f>
        <v>LA VIEJA ESQUINA</v>
      </c>
      <c r="C520" s="175"/>
      <c r="D520" s="89" t="s">
        <v>188</v>
      </c>
      <c r="E520" s="90" t="str">
        <f>'[1]COMEDORES EMERGENTES'!$G$20</f>
        <v>B° CRISTO REY PJE CAPATAZ VILLAFAÑEZ Y ARMANDO CORREA</v>
      </c>
    </row>
    <row r="521" spans="2:5" x14ac:dyDescent="0.2">
      <c r="B521" s="174" t="str">
        <f>'[1]COMEDORES EMERGENTES'!$B$21</f>
        <v>GAUCHITO GIL</v>
      </c>
      <c r="C521" s="175"/>
      <c r="D521" s="89" t="s">
        <v>188</v>
      </c>
      <c r="E521" s="90" t="str">
        <f>'[1]COMEDORES EMERGENTES'!$G$21</f>
        <v>B° 26 VIVIENDAS CASA N° 3</v>
      </c>
    </row>
    <row r="522" spans="2:5" ht="13.5" thickBot="1" x14ac:dyDescent="0.25">
      <c r="B522" s="191" t="str">
        <f>'[1]COMEDORES EMERGENTES'!$B$22</f>
        <v>LOS TOLDOS</v>
      </c>
      <c r="C522" s="192"/>
      <c r="D522" s="96" t="s">
        <v>245</v>
      </c>
      <c r="E522" s="97" t="str">
        <f>'[1]COMEDORES EMERGENTES'!$G$22</f>
        <v>LOTEO PARQUE SUR CALLE S/NOMBRE S/N°</v>
      </c>
    </row>
    <row r="523" spans="2:5" x14ac:dyDescent="0.2">
      <c r="B523" s="14" t="s">
        <v>18</v>
      </c>
      <c r="C523" s="12"/>
      <c r="D523" s="53"/>
      <c r="E523" s="13"/>
    </row>
    <row r="524" spans="2:5" x14ac:dyDescent="0.2">
      <c r="B524" s="15"/>
      <c r="C524" s="190" t="s">
        <v>24</v>
      </c>
      <c r="D524" s="190"/>
      <c r="E524" s="190"/>
    </row>
    <row r="525" spans="2:5" x14ac:dyDescent="0.2">
      <c r="B525" s="14" t="s">
        <v>19</v>
      </c>
      <c r="C525" s="16"/>
      <c r="D525" s="16"/>
      <c r="E525" s="17"/>
    </row>
    <row r="526" spans="2:5" x14ac:dyDescent="0.2">
      <c r="B526" s="15"/>
      <c r="C526" s="190" t="s">
        <v>101</v>
      </c>
      <c r="D526" s="190"/>
      <c r="E526" s="190"/>
    </row>
    <row r="527" spans="2:5" x14ac:dyDescent="0.2">
      <c r="B527" s="14" t="s">
        <v>20</v>
      </c>
      <c r="C527" s="12"/>
      <c r="D527" s="53"/>
      <c r="E527" s="13"/>
    </row>
    <row r="528" spans="2:5" x14ac:dyDescent="0.2">
      <c r="B528" s="14"/>
      <c r="C528" s="189" t="s">
        <v>25</v>
      </c>
      <c r="D528" s="189"/>
      <c r="E528" s="189"/>
    </row>
    <row r="529" spans="2:5" ht="13.5" thickBot="1" x14ac:dyDescent="0.25">
      <c r="B529" s="18"/>
      <c r="C529" s="19"/>
      <c r="D529" s="54"/>
      <c r="E529" s="20"/>
    </row>
    <row r="530" spans="2:5" ht="13.5" thickBot="1" x14ac:dyDescent="0.25"/>
    <row r="531" spans="2:5" x14ac:dyDescent="0.2">
      <c r="B531" s="8" t="s">
        <v>113</v>
      </c>
      <c r="C531" s="9"/>
      <c r="D531" s="52"/>
      <c r="E531" s="10"/>
    </row>
    <row r="532" spans="2:5" x14ac:dyDescent="0.2">
      <c r="B532" s="11"/>
      <c r="C532" s="12"/>
      <c r="D532" s="53"/>
      <c r="E532" s="13"/>
    </row>
    <row r="533" spans="2:5" x14ac:dyDescent="0.2">
      <c r="B533" s="14" t="s">
        <v>16</v>
      </c>
      <c r="C533" s="12"/>
      <c r="D533" s="53"/>
      <c r="E533" s="13"/>
    </row>
    <row r="534" spans="2:5" ht="25.5" customHeight="1" x14ac:dyDescent="0.2">
      <c r="B534" s="14"/>
      <c r="C534" s="190"/>
      <c r="D534" s="190"/>
      <c r="E534" s="190"/>
    </row>
    <row r="535" spans="2:5" ht="13.5" thickBot="1" x14ac:dyDescent="0.25">
      <c r="B535" s="14" t="s">
        <v>17</v>
      </c>
      <c r="C535" s="12"/>
      <c r="D535" s="53"/>
      <c r="E535" s="13"/>
    </row>
    <row r="536" spans="2:5" ht="13.5" thickBot="1" x14ac:dyDescent="0.25">
      <c r="B536" s="176" t="s">
        <v>98</v>
      </c>
      <c r="C536" s="177"/>
      <c r="D536" s="177"/>
      <c r="E536" s="178"/>
    </row>
    <row r="537" spans="2:5" ht="13.5" thickBot="1" x14ac:dyDescent="0.25">
      <c r="B537" s="176" t="s">
        <v>99</v>
      </c>
      <c r="C537" s="178"/>
      <c r="D537" s="50" t="s">
        <v>11</v>
      </c>
      <c r="E537" s="50" t="s">
        <v>100</v>
      </c>
    </row>
    <row r="538" spans="2:5" x14ac:dyDescent="0.2">
      <c r="B538" s="183" t="str">
        <f>'[1]COMEDORES EMERGENTES'!$B$3</f>
        <v>UNA SONRISA AV. LOS COBACHO</v>
      </c>
      <c r="C538" s="184"/>
      <c r="D538" s="94">
        <v>10</v>
      </c>
      <c r="E538" s="95" t="str">
        <f>'[1]COMEDORES EMERGENTES'!$G$3</f>
        <v>Bº SAN CARLOS OESTE AV. Bonifacio cobacho 670</v>
      </c>
    </row>
    <row r="539" spans="2:5" x14ac:dyDescent="0.2">
      <c r="B539" s="174" t="str">
        <f>'[1]COMEDORES EMERGENTES'!$B$4</f>
        <v>C.I.F Nº1 - RIVERA DEL VALLE Y FLORIDA</v>
      </c>
      <c r="C539" s="175"/>
      <c r="D539" s="89">
        <v>14</v>
      </c>
      <c r="E539" s="90" t="str">
        <f>'[1]COMEDORES EMERGENTES'!$G$4</f>
        <v>AV. RIVIERA DEL VALLE ENTRE FLORIDA Y SANTA FE</v>
      </c>
    </row>
    <row r="540" spans="2:5" x14ac:dyDescent="0.2">
      <c r="B540" s="174" t="str">
        <f>'[1]COMEDORES EMERGENTES'!$B$5</f>
        <v>C.I.F - RIVERA DEL VALLE - DILORENZO</v>
      </c>
      <c r="C540" s="175"/>
      <c r="D540" s="89">
        <v>16</v>
      </c>
      <c r="E540" s="90" t="str">
        <f>'[1]COMEDORES EMERGENTES'!$G$5</f>
        <v>Bº RIVERA DEL VALLE ENTRE VILLA EUMELIA Y MONTE CRISTO</v>
      </c>
    </row>
    <row r="541" spans="2:5" x14ac:dyDescent="0.2">
      <c r="B541" s="174" t="str">
        <f>'[1]COMEDORES EMERGENTES'!$B$6</f>
        <v>ESFUERZO PROPIO- Bº ALTOS DE CHOYA</v>
      </c>
      <c r="C541" s="175"/>
      <c r="D541" s="89">
        <v>13</v>
      </c>
      <c r="E541" s="90" t="str">
        <f>'[1]COMEDORES EMERGENTES'!$G$6</f>
        <v>Bº MUNICIPAL 35VV. NORTE C/14</v>
      </c>
    </row>
    <row r="542" spans="2:5" x14ac:dyDescent="0.2">
      <c r="B542" s="174" t="str">
        <f>'[1]COMEDORES EMERGENTES'!$B$7</f>
        <v>ANGELITOS - LOTEO SUSSEX</v>
      </c>
      <c r="C542" s="175"/>
      <c r="D542" s="89">
        <v>6</v>
      </c>
      <c r="E542" s="90" t="str">
        <f>'[1]COMEDORES EMERGENTES'!$G$7</f>
        <v>Bº LOTEO SUSEX MZA.Nº 4 LOTE Nº3</v>
      </c>
    </row>
    <row r="543" spans="2:5" x14ac:dyDescent="0.2">
      <c r="B543" s="174" t="str">
        <f>'[1]COMEDORES EMERGENTES'!$B$8</f>
        <v>CLUB DEPORTIVO CHACARITA</v>
      </c>
      <c r="C543" s="175"/>
      <c r="D543" s="89">
        <v>8</v>
      </c>
      <c r="E543" s="90" t="str">
        <f>'[1]COMEDORES EMERGENTES'!$G$8</f>
        <v>CALLE DR.DERMIDIO GALINDEZ C/2660</v>
      </c>
    </row>
    <row r="544" spans="2:5" x14ac:dyDescent="0.2">
      <c r="B544" s="174" t="str">
        <f>'[1]COMEDORES EMERGENTES'!$B$9</f>
        <v>LA MORO</v>
      </c>
      <c r="C544" s="175"/>
      <c r="D544" s="89">
        <v>7</v>
      </c>
      <c r="E544" s="90" t="str">
        <f>'[1]COMEDORES EMERGENTES'!$G$9</f>
        <v>MAIPU NORTE 1º ETAPA MZA "H" Bº MI JARDIN</v>
      </c>
    </row>
    <row r="545" spans="2:5" x14ac:dyDescent="0.2">
      <c r="B545" s="174" t="str">
        <f>'[1]COMEDORES EMERGENTES'!$B$10</f>
        <v>PAPA FRANCISCO</v>
      </c>
      <c r="C545" s="175"/>
      <c r="D545" s="89">
        <v>12</v>
      </c>
      <c r="E545" s="90" t="str">
        <f>'[1]COMEDORES EMERGENTES'!$G$10</f>
        <v>ENTRE AV.TEREBINTO Y AV.SAN JUAN LOTE "2" MZA. "B"</v>
      </c>
    </row>
    <row r="546" spans="2:5" x14ac:dyDescent="0.2">
      <c r="B546" s="174" t="str">
        <f>'[1]COMEDORES EMERGENTES'!$B$11</f>
        <v>E.P.C - 100 V.V NORTE</v>
      </c>
      <c r="C546" s="175"/>
      <c r="D546" s="89">
        <v>18</v>
      </c>
      <c r="E546" s="90" t="str">
        <f>'[1]COMEDORES EMERGENTES'!$G$11</f>
        <v>Bº VV NORTE C/48 ENTRE ESPAÑA Y FRANCIA</v>
      </c>
    </row>
    <row r="547" spans="2:5" x14ac:dyDescent="0.2">
      <c r="B547" s="174" t="str">
        <f>'[1]COMEDORES EMERGENTES'!$B$12</f>
        <v>HOGAR DE CRISTO - PADRE RAUL CONTRERAS</v>
      </c>
      <c r="C547" s="175"/>
      <c r="D547" s="89">
        <v>18</v>
      </c>
      <c r="E547" s="90" t="str">
        <f>'[1]COMEDORES EMERGENTES'!$G$12</f>
        <v>Bº SANTA MARTA MZA. "S" LOTE "M" C/39</v>
      </c>
    </row>
    <row r="548" spans="2:5" x14ac:dyDescent="0.2">
      <c r="B548" s="174" t="str">
        <f>'[1]COMEDORES EMERGENTES'!$B$13</f>
        <v>LA LUCIERNAGA</v>
      </c>
      <c r="C548" s="175"/>
      <c r="D548" s="89">
        <v>12</v>
      </c>
      <c r="E548" s="90" t="str">
        <f>'[1]COMEDORES EMERGENTES'!$G$13</f>
        <v>Bº 20 V.V NORTE C/3</v>
      </c>
    </row>
    <row r="549" spans="2:5" x14ac:dyDescent="0.2">
      <c r="B549" s="174" t="str">
        <f>'[1]COMEDORES EMERGENTES'!$B$14</f>
        <v>VALLE VIEJO - SUMALAO</v>
      </c>
      <c r="C549" s="175"/>
      <c r="D549" s="89">
        <v>21</v>
      </c>
      <c r="E549" s="90" t="str">
        <f>'[1]COMEDORES EMERGENTES'!$G$14</f>
        <v>PADRE SEGURA S/N</v>
      </c>
    </row>
    <row r="550" spans="2:5" x14ac:dyDescent="0.2">
      <c r="B550" s="174" t="str">
        <f>'[1]COMEDORES EMERGENTES'!$B$15</f>
        <v>NUESTRO FUTURO - LAS VIAS</v>
      </c>
      <c r="C550" s="175"/>
      <c r="D550" s="89">
        <v>12</v>
      </c>
      <c r="E550" s="90" t="str">
        <f>'[1]COMEDORES EMERGENTES'!$G$15</f>
        <v>Bº LAS VIAS OESTE LOTE 42</v>
      </c>
    </row>
    <row r="551" spans="2:5" x14ac:dyDescent="0.2">
      <c r="B551" s="174" t="str">
        <f>'[1]COMEDORES EMERGENTES'!$B$16</f>
        <v>SAN JOSE OBRERO</v>
      </c>
      <c r="C551" s="175"/>
      <c r="D551" s="89">
        <v>8</v>
      </c>
      <c r="E551" s="90" t="str">
        <f>'[1]COMEDORES EMERGENTES'!$G$16</f>
        <v>Bº SAN JOSE OBRERO. PJE. SANDOVAL S/Nº</v>
      </c>
    </row>
    <row r="552" spans="2:5" x14ac:dyDescent="0.2">
      <c r="B552" s="174" t="str">
        <f>'[1]COMEDORES EMERGENTES'!$B$17</f>
        <v>VIRGEN DE LUJAN</v>
      </c>
      <c r="C552" s="175"/>
      <c r="D552" s="89">
        <v>12</v>
      </c>
      <c r="E552" s="90" t="str">
        <f>'[1]COMEDORES EMERGENTES'!$G$17</f>
        <v>Bº OJO DE AGUA C/DR.TEODULFO BARRIONUEVO S/Nº</v>
      </c>
    </row>
    <row r="553" spans="2:5" x14ac:dyDescent="0.2">
      <c r="B553" s="174" t="str">
        <f>'[1]COMEDORES EMERGENTES'!$B$18</f>
        <v>RENACER</v>
      </c>
      <c r="C553" s="175"/>
      <c r="D553" s="89">
        <v>15</v>
      </c>
      <c r="E553" s="90" t="str">
        <f>'[1]COMEDORES EMERGENTES'!$G$18</f>
        <v>Bº VIRGEN MORENITA</v>
      </c>
    </row>
    <row r="554" spans="2:5" x14ac:dyDescent="0.2">
      <c r="B554" s="174" t="str">
        <f>'[1]COMEDORES EMERGENTES'!$B$19</f>
        <v>CENTRO VECINAL MI JARDIN</v>
      </c>
      <c r="C554" s="175"/>
      <c r="D554" s="89">
        <v>11</v>
      </c>
      <c r="E554" s="90" t="str">
        <f>'[1]COMEDORES EMERGENTES'!$G$19</f>
        <v>C/ LOS TULIPANES ENTRE FLOR DE CEREZO Y HOLANDA MZA.27 Bº MI JARDIN</v>
      </c>
    </row>
    <row r="555" spans="2:5" x14ac:dyDescent="0.2">
      <c r="B555" s="174" t="str">
        <f>'[1]COMEDORES EMERGENTES'!$B$20</f>
        <v>LA VIEJA ESQUINA</v>
      </c>
      <c r="C555" s="175"/>
      <c r="D555" s="89">
        <v>10</v>
      </c>
      <c r="E555" s="90" t="str">
        <f>'[1]COMEDORES EMERGENTES'!$G$20</f>
        <v>B° CRISTO REY PJE CAPATAZ VILLAFAÑEZ Y ARMANDO CORREA</v>
      </c>
    </row>
    <row r="556" spans="2:5" x14ac:dyDescent="0.2">
      <c r="B556" s="174" t="str">
        <f>'[1]COMEDORES EMERGENTES'!$B$21</f>
        <v>GAUCHITO GIL</v>
      </c>
      <c r="C556" s="175"/>
      <c r="D556" s="89">
        <v>10</v>
      </c>
      <c r="E556" s="90" t="str">
        <f>'[1]COMEDORES EMERGENTES'!$G$21</f>
        <v>B° 26 VIVIENDAS CASA N° 3</v>
      </c>
    </row>
    <row r="557" spans="2:5" ht="13.5" thickBot="1" x14ac:dyDescent="0.25">
      <c r="B557" s="191" t="str">
        <f>'[1]COMEDORES EMERGENTES'!$B$22</f>
        <v>LOS TOLDOS</v>
      </c>
      <c r="C557" s="192"/>
      <c r="D557" s="96">
        <v>5</v>
      </c>
      <c r="E557" s="97" t="str">
        <f>'[1]COMEDORES EMERGENTES'!$G$22</f>
        <v>LOTEO PARQUE SUR CALLE S/NOMBRE S/N°</v>
      </c>
    </row>
    <row r="558" spans="2:5" x14ac:dyDescent="0.2">
      <c r="B558" s="14" t="s">
        <v>18</v>
      </c>
      <c r="C558" s="12"/>
      <c r="D558" s="53"/>
      <c r="E558" s="13"/>
    </row>
    <row r="559" spans="2:5" x14ac:dyDescent="0.2">
      <c r="B559" s="15"/>
      <c r="C559" s="190" t="s">
        <v>24</v>
      </c>
      <c r="D559" s="190"/>
      <c r="E559" s="190"/>
    </row>
    <row r="560" spans="2:5" x14ac:dyDescent="0.2">
      <c r="B560" s="14" t="s">
        <v>19</v>
      </c>
      <c r="C560" s="16"/>
      <c r="D560" s="16"/>
      <c r="E560" s="17"/>
    </row>
    <row r="561" spans="2:5" x14ac:dyDescent="0.2">
      <c r="B561" s="15"/>
      <c r="C561" s="190" t="s">
        <v>101</v>
      </c>
      <c r="D561" s="190"/>
      <c r="E561" s="190"/>
    </row>
    <row r="562" spans="2:5" x14ac:dyDescent="0.2">
      <c r="B562" s="14" t="s">
        <v>20</v>
      </c>
      <c r="C562" s="12"/>
      <c r="D562" s="53"/>
      <c r="E562" s="13"/>
    </row>
    <row r="563" spans="2:5" x14ac:dyDescent="0.2">
      <c r="B563" s="14"/>
      <c r="C563" s="189" t="s">
        <v>25</v>
      </c>
      <c r="D563" s="189"/>
      <c r="E563" s="189"/>
    </row>
    <row r="564" spans="2:5" ht="13.5" thickBot="1" x14ac:dyDescent="0.25">
      <c r="B564" s="18"/>
      <c r="C564" s="19"/>
      <c r="D564" s="54"/>
      <c r="E564" s="20"/>
    </row>
    <row r="565" spans="2:5" ht="13.5" thickBot="1" x14ac:dyDescent="0.25"/>
    <row r="566" spans="2:5" x14ac:dyDescent="0.2">
      <c r="B566" s="8" t="s">
        <v>114</v>
      </c>
      <c r="C566" s="9"/>
      <c r="D566" s="52"/>
      <c r="E566" s="10"/>
    </row>
    <row r="567" spans="2:5" x14ac:dyDescent="0.2">
      <c r="B567" s="11"/>
      <c r="C567" s="12"/>
      <c r="D567" s="53"/>
      <c r="E567" s="13"/>
    </row>
    <row r="568" spans="2:5" x14ac:dyDescent="0.2">
      <c r="B568" s="14" t="s">
        <v>16</v>
      </c>
      <c r="C568" s="12"/>
      <c r="D568" s="53"/>
      <c r="E568" s="13"/>
    </row>
    <row r="569" spans="2:5" ht="25.5" customHeight="1" x14ac:dyDescent="0.2">
      <c r="B569" s="14"/>
      <c r="C569" s="190"/>
      <c r="D569" s="190"/>
      <c r="E569" s="190"/>
    </row>
    <row r="570" spans="2:5" ht="13.5" thickBot="1" x14ac:dyDescent="0.25">
      <c r="B570" s="14" t="s">
        <v>17</v>
      </c>
      <c r="C570" s="12"/>
      <c r="D570" s="53"/>
      <c r="E570" s="13"/>
    </row>
    <row r="571" spans="2:5" ht="13.5" thickBot="1" x14ac:dyDescent="0.25">
      <c r="B571" s="176" t="s">
        <v>98</v>
      </c>
      <c r="C571" s="177"/>
      <c r="D571" s="177"/>
      <c r="E571" s="178"/>
    </row>
    <row r="572" spans="2:5" ht="13.5" thickBot="1" x14ac:dyDescent="0.25">
      <c r="B572" s="176" t="s">
        <v>99</v>
      </c>
      <c r="C572" s="178"/>
      <c r="D572" s="50" t="s">
        <v>11</v>
      </c>
      <c r="E572" s="50" t="s">
        <v>100</v>
      </c>
    </row>
    <row r="573" spans="2:5" x14ac:dyDescent="0.2">
      <c r="B573" s="183" t="str">
        <f>'[1]COMEDORES EMERGENTES'!$B$3</f>
        <v>UNA SONRISA AV. LOS COBACHO</v>
      </c>
      <c r="C573" s="184"/>
      <c r="D573" s="94" t="s">
        <v>150</v>
      </c>
      <c r="E573" s="95" t="str">
        <f>'[1]COMEDORES EMERGENTES'!$G$3</f>
        <v>Bº SAN CARLOS OESTE AV. Bonifacio cobacho 670</v>
      </c>
    </row>
    <row r="574" spans="2:5" x14ac:dyDescent="0.2">
      <c r="B574" s="174" t="str">
        <f>'[1]COMEDORES EMERGENTES'!$B$4</f>
        <v>C.I.F Nº1 - RIVERA DEL VALLE Y FLORIDA</v>
      </c>
      <c r="C574" s="175"/>
      <c r="D574" s="89" t="s">
        <v>151</v>
      </c>
      <c r="E574" s="90" t="str">
        <f>'[1]COMEDORES EMERGENTES'!$G$4</f>
        <v>AV. RIVIERA DEL VALLE ENTRE FLORIDA Y SANTA FE</v>
      </c>
    </row>
    <row r="575" spans="2:5" x14ac:dyDescent="0.2">
      <c r="B575" s="174" t="str">
        <f>'[1]COMEDORES EMERGENTES'!$B$5</f>
        <v>C.I.F - RIVERA DEL VALLE - DILORENZO</v>
      </c>
      <c r="C575" s="175"/>
      <c r="D575" s="89" t="s">
        <v>152</v>
      </c>
      <c r="E575" s="90" t="str">
        <f>'[1]COMEDORES EMERGENTES'!$G$5</f>
        <v>Bº RIVERA DEL VALLE ENTRE VILLA EUMELIA Y MONTE CRISTO</v>
      </c>
    </row>
    <row r="576" spans="2:5" x14ac:dyDescent="0.2">
      <c r="B576" s="174" t="str">
        <f>'[1]COMEDORES EMERGENTES'!$B$6</f>
        <v>ESFUERZO PROPIO- Bº ALTOS DE CHOYA</v>
      </c>
      <c r="C576" s="175"/>
      <c r="D576" s="89" t="s">
        <v>153</v>
      </c>
      <c r="E576" s="90" t="str">
        <f>'[1]COMEDORES EMERGENTES'!$G$6</f>
        <v>Bº MUNICIPAL 35VV. NORTE C/14</v>
      </c>
    </row>
    <row r="577" spans="2:5" x14ac:dyDescent="0.2">
      <c r="B577" s="174" t="str">
        <f>'[1]COMEDORES EMERGENTES'!$B$7</f>
        <v>ANGELITOS - LOTEO SUSSEX</v>
      </c>
      <c r="C577" s="175"/>
      <c r="D577" s="89" t="s">
        <v>135</v>
      </c>
      <c r="E577" s="90" t="str">
        <f>'[1]COMEDORES EMERGENTES'!$G$7</f>
        <v>Bº LOTEO SUSEX MZA.Nº 4 LOTE Nº3</v>
      </c>
    </row>
    <row r="578" spans="2:5" x14ac:dyDescent="0.2">
      <c r="B578" s="174" t="str">
        <f>'[1]COMEDORES EMERGENTES'!$B$8</f>
        <v>CLUB DEPORTIVO CHACARITA</v>
      </c>
      <c r="C578" s="175"/>
      <c r="D578" s="89" t="s">
        <v>141</v>
      </c>
      <c r="E578" s="90" t="str">
        <f>'[1]COMEDORES EMERGENTES'!$G$8</f>
        <v>CALLE DR.DERMIDIO GALINDEZ C/2660</v>
      </c>
    </row>
    <row r="579" spans="2:5" x14ac:dyDescent="0.2">
      <c r="B579" s="174" t="str">
        <f>'[1]COMEDORES EMERGENTES'!$B$9</f>
        <v>LA MORO</v>
      </c>
      <c r="C579" s="175"/>
      <c r="D579" s="89" t="s">
        <v>129</v>
      </c>
      <c r="E579" s="90" t="str">
        <f>'[1]COMEDORES EMERGENTES'!$G$9</f>
        <v>MAIPU NORTE 1º ETAPA MZA "H" Bº MI JARDIN</v>
      </c>
    </row>
    <row r="580" spans="2:5" x14ac:dyDescent="0.2">
      <c r="B580" s="174" t="str">
        <f>'[1]COMEDORES EMERGENTES'!$B$10</f>
        <v>PAPA FRANCISCO</v>
      </c>
      <c r="C580" s="175"/>
      <c r="D580" s="89" t="s">
        <v>154</v>
      </c>
      <c r="E580" s="90" t="str">
        <f>'[1]COMEDORES EMERGENTES'!$G$10</f>
        <v>ENTRE AV.TEREBINTO Y AV.SAN JUAN LOTE "2" MZA. "B"</v>
      </c>
    </row>
    <row r="581" spans="2:5" x14ac:dyDescent="0.2">
      <c r="B581" s="174" t="str">
        <f>'[1]COMEDORES EMERGENTES'!$B$11</f>
        <v>E.P.C - 100 V.V NORTE</v>
      </c>
      <c r="C581" s="175"/>
      <c r="D581" s="89" t="s">
        <v>155</v>
      </c>
      <c r="E581" s="90" t="str">
        <f>'[1]COMEDORES EMERGENTES'!$G$11</f>
        <v>Bº VV NORTE C/48 ENTRE ESPAÑA Y FRANCIA</v>
      </c>
    </row>
    <row r="582" spans="2:5" x14ac:dyDescent="0.2">
      <c r="B582" s="174" t="str">
        <f>'[1]COMEDORES EMERGENTES'!$B$12</f>
        <v>HOGAR DE CRISTO - PADRE RAUL CONTRERAS</v>
      </c>
      <c r="C582" s="175"/>
      <c r="D582" s="89" t="s">
        <v>155</v>
      </c>
      <c r="E582" s="90" t="str">
        <f>'[1]COMEDORES EMERGENTES'!$G$12</f>
        <v>Bº SANTA MARTA MZA. "S" LOTE "M" C/39</v>
      </c>
    </row>
    <row r="583" spans="2:5" x14ac:dyDescent="0.2">
      <c r="B583" s="174" t="str">
        <f>'[1]COMEDORES EMERGENTES'!$B$13</f>
        <v>LA LUCIERNAGA</v>
      </c>
      <c r="C583" s="175"/>
      <c r="D583" s="89" t="s">
        <v>154</v>
      </c>
      <c r="E583" s="90" t="str">
        <f>'[1]COMEDORES EMERGENTES'!$G$13</f>
        <v>Bº 20 V.V NORTE C/3</v>
      </c>
    </row>
    <row r="584" spans="2:5" x14ac:dyDescent="0.2">
      <c r="B584" s="174" t="str">
        <f>'[1]COMEDORES EMERGENTES'!$B$14</f>
        <v>VALLE VIEJO - SUMALAO</v>
      </c>
      <c r="C584" s="175"/>
      <c r="D584" s="89" t="s">
        <v>156</v>
      </c>
      <c r="E584" s="90" t="str">
        <f>'[1]COMEDORES EMERGENTES'!$G$14</f>
        <v>PADRE SEGURA S/N</v>
      </c>
    </row>
    <row r="585" spans="2:5" x14ac:dyDescent="0.2">
      <c r="B585" s="174" t="str">
        <f>'[1]COMEDORES EMERGENTES'!$B$15</f>
        <v>NUESTRO FUTURO - LAS VIAS</v>
      </c>
      <c r="C585" s="175"/>
      <c r="D585" s="89" t="s">
        <v>154</v>
      </c>
      <c r="E585" s="90" t="str">
        <f>'[1]COMEDORES EMERGENTES'!$G$15</f>
        <v>Bº LAS VIAS OESTE LOTE 42</v>
      </c>
    </row>
    <row r="586" spans="2:5" x14ac:dyDescent="0.2">
      <c r="B586" s="174" t="str">
        <f>'[1]COMEDORES EMERGENTES'!$B$16</f>
        <v>SAN JOSE OBRERO</v>
      </c>
      <c r="C586" s="175"/>
      <c r="D586" s="89" t="s">
        <v>141</v>
      </c>
      <c r="E586" s="90" t="str">
        <f>'[1]COMEDORES EMERGENTES'!$G$16</f>
        <v>Bº SAN JOSE OBRERO. PJE. SANDOVAL S/Nº</v>
      </c>
    </row>
    <row r="587" spans="2:5" x14ac:dyDescent="0.2">
      <c r="B587" s="174" t="str">
        <f>'[1]COMEDORES EMERGENTES'!$B$17</f>
        <v>VIRGEN DE LUJAN</v>
      </c>
      <c r="C587" s="175"/>
      <c r="D587" s="89" t="s">
        <v>154</v>
      </c>
      <c r="E587" s="90" t="str">
        <f>'[1]COMEDORES EMERGENTES'!$G$17</f>
        <v>Bº OJO DE AGUA C/DR.TEODULFO BARRIONUEVO S/Nº</v>
      </c>
    </row>
    <row r="588" spans="2:5" x14ac:dyDescent="0.2">
      <c r="B588" s="174" t="str">
        <f>'[1]COMEDORES EMERGENTES'!$B$18</f>
        <v>RENACER</v>
      </c>
      <c r="C588" s="175"/>
      <c r="D588" s="89" t="s">
        <v>157</v>
      </c>
      <c r="E588" s="90" t="str">
        <f>'[1]COMEDORES EMERGENTES'!$G$18</f>
        <v>Bº VIRGEN MORENITA</v>
      </c>
    </row>
    <row r="589" spans="2:5" x14ac:dyDescent="0.2">
      <c r="B589" s="174" t="str">
        <f>'[1]COMEDORES EMERGENTES'!$B$19</f>
        <v>CENTRO VECINAL MI JARDIN</v>
      </c>
      <c r="C589" s="175"/>
      <c r="D589" s="89" t="s">
        <v>158</v>
      </c>
      <c r="E589" s="90" t="str">
        <f>'[1]COMEDORES EMERGENTES'!$G$19</f>
        <v>C/ LOS TULIPANES ENTRE FLOR DE CEREZO Y HOLANDA MZA.27 Bº MI JARDIN</v>
      </c>
    </row>
    <row r="590" spans="2:5" x14ac:dyDescent="0.2">
      <c r="B590" s="174" t="str">
        <f>'[1]COMEDORES EMERGENTES'!$B$20</f>
        <v>LA VIEJA ESQUINA</v>
      </c>
      <c r="C590" s="175"/>
      <c r="D590" s="89" t="s">
        <v>159</v>
      </c>
      <c r="E590" s="90" t="str">
        <f>'[1]COMEDORES EMERGENTES'!$G$20</f>
        <v>B° CRISTO REY PJE CAPATAZ VILLAFAÑEZ Y ARMANDO CORREA</v>
      </c>
    </row>
    <row r="591" spans="2:5" x14ac:dyDescent="0.2">
      <c r="B591" s="174" t="str">
        <f>'[1]COMEDORES EMERGENTES'!$B$21</f>
        <v>GAUCHITO GIL</v>
      </c>
      <c r="C591" s="175"/>
      <c r="D591" s="89" t="s">
        <v>159</v>
      </c>
      <c r="E591" s="90" t="str">
        <f>'[1]COMEDORES EMERGENTES'!$G$21</f>
        <v>B° 26 VIVIENDAS CASA N° 3</v>
      </c>
    </row>
    <row r="592" spans="2:5" ht="13.5" thickBot="1" x14ac:dyDescent="0.25">
      <c r="B592" s="191" t="str">
        <f>'[1]COMEDORES EMERGENTES'!$B$22</f>
        <v>LOS TOLDOS</v>
      </c>
      <c r="C592" s="192"/>
      <c r="D592" s="96" t="s">
        <v>164</v>
      </c>
      <c r="E592" s="97" t="str">
        <f>'[1]COMEDORES EMERGENTES'!$G$22</f>
        <v>LOTEO PARQUE SUR CALLE S/NOMBRE S/N°</v>
      </c>
    </row>
    <row r="593" spans="2:5" x14ac:dyDescent="0.2">
      <c r="B593" s="14" t="s">
        <v>18</v>
      </c>
      <c r="C593" s="12"/>
      <c r="D593" s="53"/>
      <c r="E593" s="13"/>
    </row>
    <row r="594" spans="2:5" x14ac:dyDescent="0.2">
      <c r="B594" s="15"/>
      <c r="C594" s="190" t="s">
        <v>24</v>
      </c>
      <c r="D594" s="190"/>
      <c r="E594" s="190"/>
    </row>
    <row r="595" spans="2:5" x14ac:dyDescent="0.2">
      <c r="B595" s="14" t="s">
        <v>19</v>
      </c>
      <c r="C595" s="16"/>
      <c r="D595" s="16"/>
      <c r="E595" s="17"/>
    </row>
    <row r="596" spans="2:5" x14ac:dyDescent="0.2">
      <c r="B596" s="15"/>
      <c r="C596" s="190" t="s">
        <v>101</v>
      </c>
      <c r="D596" s="190"/>
      <c r="E596" s="190"/>
    </row>
    <row r="597" spans="2:5" x14ac:dyDescent="0.2">
      <c r="B597" s="14" t="s">
        <v>20</v>
      </c>
      <c r="C597" s="12"/>
      <c r="D597" s="53"/>
      <c r="E597" s="13"/>
    </row>
    <row r="598" spans="2:5" x14ac:dyDescent="0.2">
      <c r="B598" s="14"/>
      <c r="C598" s="189" t="s">
        <v>25</v>
      </c>
      <c r="D598" s="189"/>
      <c r="E598" s="189"/>
    </row>
    <row r="599" spans="2:5" ht="13.5" thickBot="1" x14ac:dyDescent="0.25">
      <c r="B599" s="18"/>
      <c r="C599" s="19"/>
      <c r="D599" s="54"/>
      <c r="E599" s="20"/>
    </row>
    <row r="600" spans="2:5" ht="13.5" thickBot="1" x14ac:dyDescent="0.25"/>
    <row r="601" spans="2:5" x14ac:dyDescent="0.2">
      <c r="B601" s="8" t="s">
        <v>115</v>
      </c>
      <c r="C601" s="9"/>
      <c r="D601" s="52"/>
      <c r="E601" s="10"/>
    </row>
    <row r="602" spans="2:5" x14ac:dyDescent="0.2">
      <c r="B602" s="11"/>
      <c r="C602" s="12"/>
      <c r="D602" s="53"/>
      <c r="E602" s="13"/>
    </row>
    <row r="603" spans="2:5" x14ac:dyDescent="0.2">
      <c r="B603" s="14" t="s">
        <v>16</v>
      </c>
      <c r="C603" s="12"/>
      <c r="D603" s="53"/>
      <c r="E603" s="13"/>
    </row>
    <row r="604" spans="2:5" ht="25.5" customHeight="1" x14ac:dyDescent="0.2">
      <c r="B604" s="14"/>
      <c r="C604" s="190"/>
      <c r="D604" s="190"/>
      <c r="E604" s="190"/>
    </row>
    <row r="605" spans="2:5" ht="13.5" thickBot="1" x14ac:dyDescent="0.25">
      <c r="B605" s="14" t="s">
        <v>17</v>
      </c>
      <c r="C605" s="12"/>
      <c r="D605" s="53"/>
      <c r="E605" s="13"/>
    </row>
    <row r="606" spans="2:5" ht="13.5" thickBot="1" x14ac:dyDescent="0.25">
      <c r="B606" s="176" t="s">
        <v>98</v>
      </c>
      <c r="C606" s="177"/>
      <c r="D606" s="177"/>
      <c r="E606" s="178"/>
    </row>
    <row r="607" spans="2:5" ht="13.5" thickBot="1" x14ac:dyDescent="0.25">
      <c r="B607" s="176" t="s">
        <v>99</v>
      </c>
      <c r="C607" s="178"/>
      <c r="D607" s="50" t="s">
        <v>11</v>
      </c>
      <c r="E607" s="50" t="s">
        <v>100</v>
      </c>
    </row>
    <row r="608" spans="2:5" x14ac:dyDescent="0.2">
      <c r="B608" s="183" t="str">
        <f>'[1]COMEDORES EMERGENTES'!$B$3</f>
        <v>UNA SONRISA AV. LOS COBACHO</v>
      </c>
      <c r="C608" s="184"/>
      <c r="D608" s="94" t="s">
        <v>164</v>
      </c>
      <c r="E608" s="95" t="str">
        <f>'[1]COMEDORES EMERGENTES'!$G$3</f>
        <v>Bº SAN CARLOS OESTE AV. Bonifacio cobacho 670</v>
      </c>
    </row>
    <row r="609" spans="2:5" x14ac:dyDescent="0.2">
      <c r="B609" s="174" t="str">
        <f>'[1]COMEDORES EMERGENTES'!$B$4</f>
        <v>C.I.F Nº1 - RIVERA DEL VALLE Y FLORIDA</v>
      </c>
      <c r="C609" s="175"/>
      <c r="D609" s="89" t="s">
        <v>163</v>
      </c>
      <c r="E609" s="90" t="str">
        <f>'[1]COMEDORES EMERGENTES'!$G$4</f>
        <v>AV. RIVIERA DEL VALLE ENTRE FLORIDA Y SANTA FE</v>
      </c>
    </row>
    <row r="610" spans="2:5" x14ac:dyDescent="0.2">
      <c r="B610" s="174" t="str">
        <f>'[1]COMEDORES EMERGENTES'!$B$5</f>
        <v>C.I.F - RIVERA DEL VALLE - DILORENZO</v>
      </c>
      <c r="C610" s="175"/>
      <c r="D610" s="89" t="s">
        <v>140</v>
      </c>
      <c r="E610" s="90" t="str">
        <f>'[1]COMEDORES EMERGENTES'!$G$5</f>
        <v>Bº RIVERA DEL VALLE ENTRE VILLA EUMELIA Y MONTE CRISTO</v>
      </c>
    </row>
    <row r="611" spans="2:5" x14ac:dyDescent="0.2">
      <c r="B611" s="174" t="str">
        <f>'[1]COMEDORES EMERGENTES'!$B$6</f>
        <v>ESFUERZO PROPIO- Bº ALTOS DE CHOYA</v>
      </c>
      <c r="C611" s="175"/>
      <c r="D611" s="89" t="s">
        <v>146</v>
      </c>
      <c r="E611" s="90" t="str">
        <f>'[1]COMEDORES EMERGENTES'!$G$6</f>
        <v>Bº MUNICIPAL 35VV. NORTE C/14</v>
      </c>
    </row>
    <row r="612" spans="2:5" x14ac:dyDescent="0.2">
      <c r="B612" s="174" t="str">
        <f>'[1]COMEDORES EMERGENTES'!$B$7</f>
        <v>ANGELITOS - LOTEO SUSSEX</v>
      </c>
      <c r="C612" s="175"/>
      <c r="D612" s="89" t="s">
        <v>187</v>
      </c>
      <c r="E612" s="90" t="str">
        <f>'[1]COMEDORES EMERGENTES'!$G$7</f>
        <v>Bº LOTEO SUSEX MZA.Nº 4 LOTE Nº3</v>
      </c>
    </row>
    <row r="613" spans="2:5" x14ac:dyDescent="0.2">
      <c r="B613" s="174" t="str">
        <f>'[1]COMEDORES EMERGENTES'!$B$8</f>
        <v>CLUB DEPORTIVO CHACARITA</v>
      </c>
      <c r="C613" s="175"/>
      <c r="D613" s="89" t="s">
        <v>145</v>
      </c>
      <c r="E613" s="90" t="str">
        <f>'[1]COMEDORES EMERGENTES'!$G$8</f>
        <v>CALLE DR.DERMIDIO GALINDEZ C/2660</v>
      </c>
    </row>
    <row r="614" spans="2:5" x14ac:dyDescent="0.2">
      <c r="B614" s="174" t="str">
        <f>'[1]COMEDORES EMERGENTES'!$B$9</f>
        <v>LA MORO</v>
      </c>
      <c r="C614" s="175"/>
      <c r="D614" s="89" t="s">
        <v>162</v>
      </c>
      <c r="E614" s="90" t="str">
        <f>'[1]COMEDORES EMERGENTES'!$G$9</f>
        <v>MAIPU NORTE 1º ETAPA MZA "H" Bº MI JARDIN</v>
      </c>
    </row>
    <row r="615" spans="2:5" x14ac:dyDescent="0.2">
      <c r="B615" s="174" t="str">
        <f>'[1]COMEDORES EMERGENTES'!$B$10</f>
        <v>PAPA FRANCISCO</v>
      </c>
      <c r="C615" s="175"/>
      <c r="D615" s="89" t="s">
        <v>135</v>
      </c>
      <c r="E615" s="90" t="str">
        <f>'[1]COMEDORES EMERGENTES'!$G$10</f>
        <v>ENTRE AV.TEREBINTO Y AV.SAN JUAN LOTE "2" MZA. "B"</v>
      </c>
    </row>
    <row r="616" spans="2:5" x14ac:dyDescent="0.2">
      <c r="B616" s="174" t="str">
        <f>'[1]COMEDORES EMERGENTES'!$B$11</f>
        <v>E.P.C - 100 V.V NORTE</v>
      </c>
      <c r="C616" s="175"/>
      <c r="D616" s="89" t="s">
        <v>136</v>
      </c>
      <c r="E616" s="90" t="str">
        <f>'[1]COMEDORES EMERGENTES'!$G$11</f>
        <v>Bº VV NORTE C/48 ENTRE ESPAÑA Y FRANCIA</v>
      </c>
    </row>
    <row r="617" spans="2:5" x14ac:dyDescent="0.2">
      <c r="B617" s="174" t="str">
        <f>'[1]COMEDORES EMERGENTES'!$B$12</f>
        <v>HOGAR DE CRISTO - PADRE RAUL CONTRERAS</v>
      </c>
      <c r="C617" s="175"/>
      <c r="D617" s="89" t="s">
        <v>136</v>
      </c>
      <c r="E617" s="90" t="str">
        <f>'[1]COMEDORES EMERGENTES'!$G$12</f>
        <v>Bº SANTA MARTA MZA. "S" LOTE "M" C/39</v>
      </c>
    </row>
    <row r="618" spans="2:5" x14ac:dyDescent="0.2">
      <c r="B618" s="174" t="str">
        <f>'[1]COMEDORES EMERGENTES'!$B$13</f>
        <v>LA LUCIERNAGA</v>
      </c>
      <c r="C618" s="175"/>
      <c r="D618" s="89" t="s">
        <v>135</v>
      </c>
      <c r="E618" s="90" t="str">
        <f>'[1]COMEDORES EMERGENTES'!$G$13</f>
        <v>Bº 20 V.V NORTE C/3</v>
      </c>
    </row>
    <row r="619" spans="2:5" x14ac:dyDescent="0.2">
      <c r="B619" s="174" t="str">
        <f>'[1]COMEDORES EMERGENTES'!$B$14</f>
        <v>VALLE VIEJO - SUMALAO</v>
      </c>
      <c r="C619" s="175"/>
      <c r="D619" s="89" t="s">
        <v>131</v>
      </c>
      <c r="E619" s="90" t="str">
        <f>'[1]COMEDORES EMERGENTES'!$G$14</f>
        <v>PADRE SEGURA S/N</v>
      </c>
    </row>
    <row r="620" spans="2:5" x14ac:dyDescent="0.2">
      <c r="B620" s="174" t="str">
        <f>'[1]COMEDORES EMERGENTES'!$B$15</f>
        <v>NUESTRO FUTURO - LAS VIAS</v>
      </c>
      <c r="C620" s="175"/>
      <c r="D620" s="89" t="s">
        <v>135</v>
      </c>
      <c r="E620" s="90" t="str">
        <f>'[1]COMEDORES EMERGENTES'!$G$15</f>
        <v>Bº LAS VIAS OESTE LOTE 42</v>
      </c>
    </row>
    <row r="621" spans="2:5" x14ac:dyDescent="0.2">
      <c r="B621" s="174" t="str">
        <f>'[1]COMEDORES EMERGENTES'!$B$16</f>
        <v>SAN JOSE OBRERO</v>
      </c>
      <c r="C621" s="175"/>
      <c r="D621" s="89" t="s">
        <v>145</v>
      </c>
      <c r="E621" s="90" t="str">
        <f>'[1]COMEDORES EMERGENTES'!$G$16</f>
        <v>Bº SAN JOSE OBRERO. PJE. SANDOVAL S/Nº</v>
      </c>
    </row>
    <row r="622" spans="2:5" x14ac:dyDescent="0.2">
      <c r="B622" s="174" t="str">
        <f>'[1]COMEDORES EMERGENTES'!$B$17</f>
        <v>VIRGEN DE LUJAN</v>
      </c>
      <c r="C622" s="175"/>
      <c r="D622" s="89" t="s">
        <v>135</v>
      </c>
      <c r="E622" s="90" t="str">
        <f>'[1]COMEDORES EMERGENTES'!$G$17</f>
        <v>Bº OJO DE AGUA C/DR.TEODULFO BARRIONUEVO S/Nº</v>
      </c>
    </row>
    <row r="623" spans="2:5" x14ac:dyDescent="0.2">
      <c r="B623" s="174" t="str">
        <f>'[1]COMEDORES EMERGENTES'!$B$18</f>
        <v>RENACER</v>
      </c>
      <c r="C623" s="175"/>
      <c r="D623" s="89" t="s">
        <v>142</v>
      </c>
      <c r="E623" s="90" t="str">
        <f>'[1]COMEDORES EMERGENTES'!$G$18</f>
        <v>Bº VIRGEN MORENITA</v>
      </c>
    </row>
    <row r="624" spans="2:5" x14ac:dyDescent="0.2">
      <c r="B624" s="174" t="str">
        <f>'[1]COMEDORES EMERGENTES'!$B$19</f>
        <v>CENTRO VECINAL MI JARDIN</v>
      </c>
      <c r="C624" s="175"/>
      <c r="D624" s="89" t="s">
        <v>130</v>
      </c>
      <c r="E624" s="90" t="str">
        <f>'[1]COMEDORES EMERGENTES'!$G$19</f>
        <v>C/ LOS TULIPANES ENTRE FLOR DE CEREZO Y HOLANDA MZA.27 Bº MI JARDIN</v>
      </c>
    </row>
    <row r="625" spans="2:5" x14ac:dyDescent="0.2">
      <c r="B625" s="174" t="str">
        <f>'[1]COMEDORES EMERGENTES'!$B$20</f>
        <v>LA VIEJA ESQUINA</v>
      </c>
      <c r="C625" s="175"/>
      <c r="D625" s="89" t="s">
        <v>188</v>
      </c>
      <c r="E625" s="90" t="str">
        <f>'[1]COMEDORES EMERGENTES'!$G$20</f>
        <v>B° CRISTO REY PJE CAPATAZ VILLAFAÑEZ Y ARMANDO CORREA</v>
      </c>
    </row>
    <row r="626" spans="2:5" x14ac:dyDescent="0.2">
      <c r="B626" s="174" t="str">
        <f>'[1]COMEDORES EMERGENTES'!$B$21</f>
        <v>GAUCHITO GIL</v>
      </c>
      <c r="C626" s="175"/>
      <c r="D626" s="89" t="s">
        <v>188</v>
      </c>
      <c r="E626" s="90" t="str">
        <f>'[1]COMEDORES EMERGENTES'!$G$21</f>
        <v>B° 26 VIVIENDAS CASA N° 3</v>
      </c>
    </row>
    <row r="627" spans="2:5" ht="13.5" thickBot="1" x14ac:dyDescent="0.25">
      <c r="B627" s="191" t="str">
        <f>'[1]COMEDORES EMERGENTES'!$B$22</f>
        <v>LOS TOLDOS</v>
      </c>
      <c r="C627" s="192"/>
      <c r="D627" s="96" t="s">
        <v>245</v>
      </c>
      <c r="E627" s="97" t="str">
        <f>'[1]COMEDORES EMERGENTES'!$G$22</f>
        <v>LOTEO PARQUE SUR CALLE S/NOMBRE S/N°</v>
      </c>
    </row>
    <row r="628" spans="2:5" x14ac:dyDescent="0.2">
      <c r="B628" s="14" t="s">
        <v>18</v>
      </c>
      <c r="C628" s="12"/>
      <c r="D628" s="53"/>
      <c r="E628" s="13"/>
    </row>
    <row r="629" spans="2:5" x14ac:dyDescent="0.2">
      <c r="B629" s="15"/>
      <c r="C629" s="190" t="s">
        <v>24</v>
      </c>
      <c r="D629" s="190"/>
      <c r="E629" s="190"/>
    </row>
    <row r="630" spans="2:5" x14ac:dyDescent="0.2">
      <c r="B630" s="14" t="s">
        <v>19</v>
      </c>
      <c r="C630" s="16"/>
      <c r="D630" s="16"/>
      <c r="E630" s="17"/>
    </row>
    <row r="631" spans="2:5" x14ac:dyDescent="0.2">
      <c r="B631" s="15"/>
      <c r="C631" s="190" t="s">
        <v>101</v>
      </c>
      <c r="D631" s="190"/>
      <c r="E631" s="190"/>
    </row>
    <row r="632" spans="2:5" x14ac:dyDescent="0.2">
      <c r="B632" s="14" t="s">
        <v>20</v>
      </c>
      <c r="C632" s="12"/>
      <c r="D632" s="53"/>
      <c r="E632" s="13"/>
    </row>
    <row r="633" spans="2:5" x14ac:dyDescent="0.2">
      <c r="B633" s="14"/>
      <c r="C633" s="189" t="s">
        <v>25</v>
      </c>
      <c r="D633" s="189"/>
      <c r="E633" s="189"/>
    </row>
    <row r="634" spans="2:5" ht="13.5" thickBot="1" x14ac:dyDescent="0.25">
      <c r="B634" s="18"/>
      <c r="C634" s="19"/>
      <c r="D634" s="54"/>
      <c r="E634" s="20"/>
    </row>
    <row r="635" spans="2:5" ht="13.5" thickBot="1" x14ac:dyDescent="0.25"/>
    <row r="636" spans="2:5" x14ac:dyDescent="0.2">
      <c r="B636" s="8" t="s">
        <v>116</v>
      </c>
      <c r="C636" s="9"/>
      <c r="D636" s="52"/>
      <c r="E636" s="10"/>
    </row>
    <row r="637" spans="2:5" x14ac:dyDescent="0.2">
      <c r="B637" s="11"/>
      <c r="C637" s="12"/>
      <c r="D637" s="53"/>
      <c r="E637" s="13"/>
    </row>
    <row r="638" spans="2:5" x14ac:dyDescent="0.2">
      <c r="B638" s="14" t="s">
        <v>16</v>
      </c>
      <c r="C638" s="12"/>
      <c r="D638" s="53"/>
      <c r="E638" s="13"/>
    </row>
    <row r="639" spans="2:5" ht="25.5" customHeight="1" x14ac:dyDescent="0.2">
      <c r="B639" s="14"/>
      <c r="C639" s="190"/>
      <c r="D639" s="190"/>
      <c r="E639" s="190"/>
    </row>
    <row r="640" spans="2:5" ht="13.5" thickBot="1" x14ac:dyDescent="0.25">
      <c r="B640" s="14" t="s">
        <v>17</v>
      </c>
      <c r="C640" s="12"/>
      <c r="D640" s="53"/>
      <c r="E640" s="13"/>
    </row>
    <row r="641" spans="2:5" ht="13.5" thickBot="1" x14ac:dyDescent="0.25">
      <c r="B641" s="176" t="s">
        <v>98</v>
      </c>
      <c r="C641" s="177"/>
      <c r="D641" s="177"/>
      <c r="E641" s="178"/>
    </row>
    <row r="642" spans="2:5" ht="13.5" thickBot="1" x14ac:dyDescent="0.25">
      <c r="B642" s="176" t="s">
        <v>99</v>
      </c>
      <c r="C642" s="178"/>
      <c r="D642" s="50" t="s">
        <v>11</v>
      </c>
      <c r="E642" s="50" t="s">
        <v>100</v>
      </c>
    </row>
    <row r="643" spans="2:5" x14ac:dyDescent="0.2">
      <c r="B643" s="183" t="str">
        <f>'[1]COMEDORES EMERGENTES'!$B$3</f>
        <v>UNA SONRISA AV. LOS COBACHO</v>
      </c>
      <c r="C643" s="184"/>
      <c r="D643" s="94" t="s">
        <v>183</v>
      </c>
      <c r="E643" s="95" t="str">
        <f>'[1]COMEDORES EMERGENTES'!$G$3</f>
        <v>Bº SAN CARLOS OESTE AV. Bonifacio cobacho 670</v>
      </c>
    </row>
    <row r="644" spans="2:5" x14ac:dyDescent="0.2">
      <c r="B644" s="174" t="str">
        <f>'[1]COMEDORES EMERGENTES'!$B$4</f>
        <v>C.I.F Nº1 - RIVERA DEL VALLE Y FLORIDA</v>
      </c>
      <c r="C644" s="175"/>
      <c r="D644" s="89" t="s">
        <v>132</v>
      </c>
      <c r="E644" s="90" t="str">
        <f>'[1]COMEDORES EMERGENTES'!$G$4</f>
        <v>AV. RIVIERA DEL VALLE ENTRE FLORIDA Y SANTA FE</v>
      </c>
    </row>
    <row r="645" spans="2:5" x14ac:dyDescent="0.2">
      <c r="B645" s="174" t="str">
        <f>'[1]COMEDORES EMERGENTES'!$B$5</f>
        <v>C.I.F - RIVERA DEL VALLE - DILORENZO</v>
      </c>
      <c r="C645" s="175"/>
      <c r="D645" s="89" t="s">
        <v>189</v>
      </c>
      <c r="E645" s="90" t="str">
        <f>'[1]COMEDORES EMERGENTES'!$G$5</f>
        <v>Bº RIVERA DEL VALLE ENTRE VILLA EUMELIA Y MONTE CRISTO</v>
      </c>
    </row>
    <row r="646" spans="2:5" x14ac:dyDescent="0.2">
      <c r="B646" s="174" t="str">
        <f>'[1]COMEDORES EMERGENTES'!$B$6</f>
        <v>ESFUERZO PROPIO- Bº ALTOS DE CHOYA</v>
      </c>
      <c r="C646" s="175"/>
      <c r="D646" s="89" t="s">
        <v>154</v>
      </c>
      <c r="E646" s="90" t="str">
        <f>'[1]COMEDORES EMERGENTES'!$G$6</f>
        <v>Bº MUNICIPAL 35VV. NORTE C/14</v>
      </c>
    </row>
    <row r="647" spans="2:5" x14ac:dyDescent="0.2">
      <c r="B647" s="174" t="str">
        <f>'[1]COMEDORES EMERGENTES'!$B$7</f>
        <v>ANGELITOS - LOTEO SUSSEX</v>
      </c>
      <c r="C647" s="175"/>
      <c r="D647" s="89" t="s">
        <v>130</v>
      </c>
      <c r="E647" s="90" t="str">
        <f>'[1]COMEDORES EMERGENTES'!$G$7</f>
        <v>Bº LOTEO SUSEX MZA.Nº 4 LOTE Nº3</v>
      </c>
    </row>
    <row r="648" spans="2:5" x14ac:dyDescent="0.2">
      <c r="B648" s="174" t="str">
        <f>'[1]COMEDORES EMERGENTES'!$B$8</f>
        <v>CLUB DEPORTIVO CHACARITA</v>
      </c>
      <c r="C648" s="175"/>
      <c r="D648" s="89" t="s">
        <v>163</v>
      </c>
      <c r="E648" s="90" t="str">
        <f>'[1]COMEDORES EMERGENTES'!$G$8</f>
        <v>CALLE DR.DERMIDIO GALINDEZ C/2660</v>
      </c>
    </row>
    <row r="649" spans="2:5" x14ac:dyDescent="0.2">
      <c r="B649" s="174" t="str">
        <f>'[1]COMEDORES EMERGENTES'!$B$9</f>
        <v>LA MORO</v>
      </c>
      <c r="C649" s="175"/>
      <c r="D649" s="89" t="s">
        <v>146</v>
      </c>
      <c r="E649" s="90" t="str">
        <f>'[1]COMEDORES EMERGENTES'!$G$9</f>
        <v>MAIPU NORTE 1º ETAPA MZA "H" Bº MI JARDIN</v>
      </c>
    </row>
    <row r="650" spans="2:5" x14ac:dyDescent="0.2">
      <c r="B650" s="174" t="str">
        <f>'[1]COMEDORES EMERGENTES'!$B$10</f>
        <v>PAPA FRANCISCO</v>
      </c>
      <c r="C650" s="175"/>
      <c r="D650" s="89" t="s">
        <v>158</v>
      </c>
      <c r="E650" s="90" t="str">
        <f>'[1]COMEDORES EMERGENTES'!$G$10</f>
        <v>ENTRE AV.TEREBINTO Y AV.SAN JUAN LOTE "2" MZA. "B"</v>
      </c>
    </row>
    <row r="651" spans="2:5" x14ac:dyDescent="0.2">
      <c r="B651" s="174" t="str">
        <f>'[1]COMEDORES EMERGENTES'!$B$11</f>
        <v>E.P.C - 100 V.V NORTE</v>
      </c>
      <c r="C651" s="175"/>
      <c r="D651" s="89" t="s">
        <v>152</v>
      </c>
      <c r="E651" s="90" t="str">
        <f>'[1]COMEDORES EMERGENTES'!$G$11</f>
        <v>Bº VV NORTE C/48 ENTRE ESPAÑA Y FRANCIA</v>
      </c>
    </row>
    <row r="652" spans="2:5" x14ac:dyDescent="0.2">
      <c r="B652" s="174" t="str">
        <f>'[1]COMEDORES EMERGENTES'!$B$12</f>
        <v>HOGAR DE CRISTO - PADRE RAUL CONTRERAS</v>
      </c>
      <c r="C652" s="175"/>
      <c r="D652" s="89" t="s">
        <v>152</v>
      </c>
      <c r="E652" s="90" t="str">
        <f>'[1]COMEDORES EMERGENTES'!$G$12</f>
        <v>Bº SANTA MARTA MZA. "S" LOTE "M" C/39</v>
      </c>
    </row>
    <row r="653" spans="2:5" x14ac:dyDescent="0.2">
      <c r="B653" s="174" t="str">
        <f>'[1]COMEDORES EMERGENTES'!$B$13</f>
        <v>LA LUCIERNAGA</v>
      </c>
      <c r="C653" s="175"/>
      <c r="D653" s="89" t="s">
        <v>158</v>
      </c>
      <c r="E653" s="90" t="str">
        <f>'[1]COMEDORES EMERGENTES'!$G$13</f>
        <v>Bº 20 V.V NORTE C/3</v>
      </c>
    </row>
    <row r="654" spans="2:5" x14ac:dyDescent="0.2">
      <c r="B654" s="174" t="str">
        <f>'[1]COMEDORES EMERGENTES'!$B$14</f>
        <v>VALLE VIEJO - SUMALAO</v>
      </c>
      <c r="C654" s="175"/>
      <c r="D654" s="89" t="s">
        <v>180</v>
      </c>
      <c r="E654" s="90" t="str">
        <f>'[1]COMEDORES EMERGENTES'!$G$14</f>
        <v>PADRE SEGURA S/N</v>
      </c>
    </row>
    <row r="655" spans="2:5" x14ac:dyDescent="0.2">
      <c r="B655" s="174" t="str">
        <f>'[1]COMEDORES EMERGENTES'!$B$15</f>
        <v>NUESTRO FUTURO - LAS VIAS</v>
      </c>
      <c r="C655" s="175"/>
      <c r="D655" s="89" t="s">
        <v>158</v>
      </c>
      <c r="E655" s="90" t="str">
        <f>'[1]COMEDORES EMERGENTES'!$G$15</f>
        <v>Bº LAS VIAS OESTE LOTE 42</v>
      </c>
    </row>
    <row r="656" spans="2:5" x14ac:dyDescent="0.2">
      <c r="B656" s="174" t="str">
        <f>'[1]COMEDORES EMERGENTES'!$B$16</f>
        <v>SAN JOSE OBRERO</v>
      </c>
      <c r="C656" s="175"/>
      <c r="D656" s="89" t="s">
        <v>163</v>
      </c>
      <c r="E656" s="90" t="str">
        <f>'[1]COMEDORES EMERGENTES'!$G$16</f>
        <v>Bº SAN JOSE OBRERO. PJE. SANDOVAL S/Nº</v>
      </c>
    </row>
    <row r="657" spans="2:5" x14ac:dyDescent="0.2">
      <c r="B657" s="174" t="str">
        <f>'[1]COMEDORES EMERGENTES'!$B$17</f>
        <v>VIRGEN DE LUJAN</v>
      </c>
      <c r="C657" s="175"/>
      <c r="D657" s="89" t="s">
        <v>158</v>
      </c>
      <c r="E657" s="90" t="str">
        <f>'[1]COMEDORES EMERGENTES'!$G$17</f>
        <v>Bº OJO DE AGUA C/DR.TEODULFO BARRIONUEVO S/Nº</v>
      </c>
    </row>
    <row r="658" spans="2:5" x14ac:dyDescent="0.2">
      <c r="B658" s="174" t="str">
        <f>'[1]COMEDORES EMERGENTES'!$B$18</f>
        <v>RENACER</v>
      </c>
      <c r="C658" s="175"/>
      <c r="D658" s="89" t="s">
        <v>137</v>
      </c>
      <c r="E658" s="90" t="str">
        <f>'[1]COMEDORES EMERGENTES'!$G$18</f>
        <v>Bº VIRGEN MORENITA</v>
      </c>
    </row>
    <row r="659" spans="2:5" x14ac:dyDescent="0.2">
      <c r="B659" s="174" t="str">
        <f>'[1]COMEDORES EMERGENTES'!$B$19</f>
        <v>CENTRO VECINAL MI JARDIN</v>
      </c>
      <c r="C659" s="175"/>
      <c r="D659" s="89" t="s">
        <v>150</v>
      </c>
      <c r="E659" s="90" t="str">
        <f>'[1]COMEDORES EMERGENTES'!$G$19</f>
        <v>C/ LOS TULIPANES ENTRE FLOR DE CEREZO Y HOLANDA MZA.27 Bº MI JARDIN</v>
      </c>
    </row>
    <row r="660" spans="2:5" x14ac:dyDescent="0.2">
      <c r="B660" s="174" t="str">
        <f>'[1]COMEDORES EMERGENTES'!$B$20</f>
        <v>LA VIEJA ESQUINA</v>
      </c>
      <c r="C660" s="175"/>
      <c r="D660" s="89" t="s">
        <v>190</v>
      </c>
      <c r="E660" s="90" t="str">
        <f>'[1]COMEDORES EMERGENTES'!$G$20</f>
        <v>B° CRISTO REY PJE CAPATAZ VILLAFAÑEZ Y ARMANDO CORREA</v>
      </c>
    </row>
    <row r="661" spans="2:5" x14ac:dyDescent="0.2">
      <c r="B661" s="174" t="str">
        <f>'[1]COMEDORES EMERGENTES'!$B$21</f>
        <v>GAUCHITO GIL</v>
      </c>
      <c r="C661" s="175"/>
      <c r="D661" s="89" t="s">
        <v>136</v>
      </c>
      <c r="E661" s="90" t="str">
        <f>'[1]COMEDORES EMERGENTES'!$G$21</f>
        <v>B° 26 VIVIENDAS CASA N° 3</v>
      </c>
    </row>
    <row r="662" spans="2:5" ht="13.5" thickBot="1" x14ac:dyDescent="0.25">
      <c r="B662" s="191" t="str">
        <f>'[1]COMEDORES EMERGENTES'!$B$22</f>
        <v>LOS TOLDOS</v>
      </c>
      <c r="C662" s="192"/>
      <c r="D662" s="96" t="s">
        <v>144</v>
      </c>
      <c r="E662" s="97" t="str">
        <f>'[1]COMEDORES EMERGENTES'!$G$22</f>
        <v>LOTEO PARQUE SUR CALLE S/NOMBRE S/N°</v>
      </c>
    </row>
    <row r="663" spans="2:5" x14ac:dyDescent="0.2">
      <c r="B663" s="14" t="s">
        <v>18</v>
      </c>
      <c r="C663" s="12"/>
      <c r="D663" s="53"/>
      <c r="E663" s="13"/>
    </row>
    <row r="664" spans="2:5" x14ac:dyDescent="0.2">
      <c r="B664" s="15"/>
      <c r="C664" s="190" t="s">
        <v>24</v>
      </c>
      <c r="D664" s="190"/>
      <c r="E664" s="190"/>
    </row>
    <row r="665" spans="2:5" x14ac:dyDescent="0.2">
      <c r="B665" s="14" t="s">
        <v>19</v>
      </c>
      <c r="C665" s="16"/>
      <c r="D665" s="16"/>
      <c r="E665" s="17"/>
    </row>
    <row r="666" spans="2:5" x14ac:dyDescent="0.2">
      <c r="B666" s="15"/>
      <c r="C666" s="190" t="s">
        <v>101</v>
      </c>
      <c r="D666" s="190"/>
      <c r="E666" s="190"/>
    </row>
    <row r="667" spans="2:5" x14ac:dyDescent="0.2">
      <c r="B667" s="14" t="s">
        <v>20</v>
      </c>
      <c r="C667" s="12"/>
      <c r="D667" s="53"/>
      <c r="E667" s="13"/>
    </row>
    <row r="668" spans="2:5" x14ac:dyDescent="0.2">
      <c r="B668" s="14"/>
      <c r="C668" s="189" t="s">
        <v>25</v>
      </c>
      <c r="D668" s="189"/>
      <c r="E668" s="189"/>
    </row>
    <row r="669" spans="2:5" ht="13.5" thickBot="1" x14ac:dyDescent="0.25">
      <c r="B669" s="18"/>
      <c r="C669" s="19"/>
      <c r="D669" s="54"/>
      <c r="E669" s="20"/>
    </row>
    <row r="670" spans="2:5" ht="13.5" thickBot="1" x14ac:dyDescent="0.25"/>
    <row r="671" spans="2:5" x14ac:dyDescent="0.2">
      <c r="B671" s="8" t="s">
        <v>117</v>
      </c>
      <c r="C671" s="9"/>
      <c r="D671" s="52"/>
      <c r="E671" s="10"/>
    </row>
    <row r="672" spans="2:5" x14ac:dyDescent="0.2">
      <c r="B672" s="11"/>
      <c r="C672" s="12"/>
      <c r="D672" s="53"/>
      <c r="E672" s="13"/>
    </row>
    <row r="673" spans="2:5" x14ac:dyDescent="0.2">
      <c r="B673" s="14" t="s">
        <v>16</v>
      </c>
      <c r="C673" s="12"/>
      <c r="D673" s="53"/>
      <c r="E673" s="13"/>
    </row>
    <row r="674" spans="2:5" ht="25.5" customHeight="1" x14ac:dyDescent="0.2">
      <c r="B674" s="14"/>
      <c r="C674" s="190"/>
      <c r="D674" s="190"/>
      <c r="E674" s="190"/>
    </row>
    <row r="675" spans="2:5" ht="13.5" thickBot="1" x14ac:dyDescent="0.25">
      <c r="B675" s="14" t="s">
        <v>17</v>
      </c>
      <c r="C675" s="12"/>
      <c r="D675" s="53"/>
      <c r="E675" s="13"/>
    </row>
    <row r="676" spans="2:5" ht="13.5" thickBot="1" x14ac:dyDescent="0.25">
      <c r="B676" s="176" t="s">
        <v>98</v>
      </c>
      <c r="C676" s="177"/>
      <c r="D676" s="177"/>
      <c r="E676" s="178"/>
    </row>
    <row r="677" spans="2:5" ht="13.5" thickBot="1" x14ac:dyDescent="0.25">
      <c r="B677" s="176" t="s">
        <v>99</v>
      </c>
      <c r="C677" s="178"/>
      <c r="D677" s="50" t="s">
        <v>11</v>
      </c>
      <c r="E677" s="50" t="s">
        <v>100</v>
      </c>
    </row>
    <row r="678" spans="2:5" x14ac:dyDescent="0.2">
      <c r="B678" s="183" t="str">
        <f>'[1]COMEDORES EMERGENTES'!$B$3</f>
        <v>UNA SONRISA AV. LOS COBACHO</v>
      </c>
      <c r="C678" s="184"/>
      <c r="D678" s="94" t="s">
        <v>129</v>
      </c>
      <c r="E678" s="95" t="str">
        <f>'[1]COMEDORES EMERGENTES'!$G$3</f>
        <v>Bº SAN CARLOS OESTE AV. Bonifacio cobacho 670</v>
      </c>
    </row>
    <row r="679" spans="2:5" x14ac:dyDescent="0.2">
      <c r="B679" s="174" t="str">
        <f>'[1]COMEDORES EMERGENTES'!$B$4</f>
        <v>C.I.F Nº1 - RIVERA DEL VALLE Y FLORIDA</v>
      </c>
      <c r="C679" s="175"/>
      <c r="D679" s="89" t="s">
        <v>131</v>
      </c>
      <c r="E679" s="90" t="str">
        <f>'[1]COMEDORES EMERGENTES'!$G$4</f>
        <v>AV. RIVIERA DEL VALLE ENTRE FLORIDA Y SANTA FE</v>
      </c>
    </row>
    <row r="680" spans="2:5" x14ac:dyDescent="0.2">
      <c r="B680" s="174" t="str">
        <f>'[1]COMEDORES EMERGENTES'!$B$5</f>
        <v>C.I.F - RIVERA DEL VALLE - DILORENZO</v>
      </c>
      <c r="C680" s="175"/>
      <c r="D680" s="89" t="s">
        <v>132</v>
      </c>
      <c r="E680" s="90" t="str">
        <f>'[1]COMEDORES EMERGENTES'!$G$5</f>
        <v>Bº RIVERA DEL VALLE ENTRE VILLA EUMELIA Y MONTE CRISTO</v>
      </c>
    </row>
    <row r="681" spans="2:5" x14ac:dyDescent="0.2">
      <c r="B681" s="174" t="str">
        <f>'[1]COMEDORES EMERGENTES'!$B$6</f>
        <v>ESFUERZO PROPIO- Bº ALTOS DE CHOYA</v>
      </c>
      <c r="C681" s="175"/>
      <c r="D681" s="89" t="s">
        <v>133</v>
      </c>
      <c r="E681" s="90" t="str">
        <f>'[1]COMEDORES EMERGENTES'!$G$6</f>
        <v>Bº MUNICIPAL 35VV. NORTE C/14</v>
      </c>
    </row>
    <row r="682" spans="2:5" x14ac:dyDescent="0.2">
      <c r="B682" s="174" t="str">
        <f>'[1]COMEDORES EMERGENTES'!$B$7</f>
        <v>ANGELITOS - LOTEO SUSSEX</v>
      </c>
      <c r="C682" s="175"/>
      <c r="D682" s="89" t="s">
        <v>134</v>
      </c>
      <c r="E682" s="90" t="str">
        <f>'[1]COMEDORES EMERGENTES'!$G$7</f>
        <v>Bº LOTEO SUSEX MZA.Nº 4 LOTE Nº3</v>
      </c>
    </row>
    <row r="683" spans="2:5" x14ac:dyDescent="0.2">
      <c r="B683" s="174" t="str">
        <f>'[1]COMEDORES EMERGENTES'!$B$8</f>
        <v>CLUB DEPORTIVO CHACARITA</v>
      </c>
      <c r="C683" s="175"/>
      <c r="D683" s="89" t="s">
        <v>135</v>
      </c>
      <c r="E683" s="90" t="str">
        <f>'[1]COMEDORES EMERGENTES'!$G$8</f>
        <v>CALLE DR.DERMIDIO GALINDEZ C/2660</v>
      </c>
    </row>
    <row r="684" spans="2:5" x14ac:dyDescent="0.2">
      <c r="B684" s="174" t="str">
        <f>'[1]COMEDORES EMERGENTES'!$B$9</f>
        <v>LA MORO</v>
      </c>
      <c r="C684" s="175"/>
      <c r="D684" s="89" t="s">
        <v>130</v>
      </c>
      <c r="E684" s="90" t="str">
        <f>'[1]COMEDORES EMERGENTES'!$G$9</f>
        <v>MAIPU NORTE 1º ETAPA MZA "H" Bº MI JARDIN</v>
      </c>
    </row>
    <row r="685" spans="2:5" x14ac:dyDescent="0.2">
      <c r="B685" s="174" t="str">
        <f>'[1]COMEDORES EMERGENTES'!$B$10</f>
        <v>PAPA FRANCISCO</v>
      </c>
      <c r="C685" s="175"/>
      <c r="D685" s="89" t="s">
        <v>136</v>
      </c>
      <c r="E685" s="90" t="str">
        <f>'[1]COMEDORES EMERGENTES'!$G$10</f>
        <v>ENTRE AV.TEREBINTO Y AV.SAN JUAN LOTE "2" MZA. "B"</v>
      </c>
    </row>
    <row r="686" spans="2:5" x14ac:dyDescent="0.2">
      <c r="B686" s="174" t="str">
        <f>'[1]COMEDORES EMERGENTES'!$B$11</f>
        <v>E.P.C - 100 V.V NORTE</v>
      </c>
      <c r="C686" s="175"/>
      <c r="D686" s="89" t="s">
        <v>137</v>
      </c>
      <c r="E686" s="90" t="str">
        <f>'[1]COMEDORES EMERGENTES'!$G$11</f>
        <v>Bº VV NORTE C/48 ENTRE ESPAÑA Y FRANCIA</v>
      </c>
    </row>
    <row r="687" spans="2:5" x14ac:dyDescent="0.2">
      <c r="B687" s="174" t="str">
        <f>'[1]COMEDORES EMERGENTES'!$B$12</f>
        <v>HOGAR DE CRISTO - PADRE RAUL CONTRERAS</v>
      </c>
      <c r="C687" s="175"/>
      <c r="D687" s="89" t="s">
        <v>137</v>
      </c>
      <c r="E687" s="90" t="str">
        <f>'[1]COMEDORES EMERGENTES'!$G$12</f>
        <v>Bº SANTA MARTA MZA. "S" LOTE "M" C/39</v>
      </c>
    </row>
    <row r="688" spans="2:5" x14ac:dyDescent="0.2">
      <c r="B688" s="174" t="str">
        <f>'[1]COMEDORES EMERGENTES'!$B$13</f>
        <v>LA LUCIERNAGA</v>
      </c>
      <c r="C688" s="175"/>
      <c r="D688" s="89" t="s">
        <v>136</v>
      </c>
      <c r="E688" s="90" t="str">
        <f>'[1]COMEDORES EMERGENTES'!$G$13</f>
        <v>Bº 20 V.V NORTE C/3</v>
      </c>
    </row>
    <row r="689" spans="2:5" x14ac:dyDescent="0.2">
      <c r="B689" s="174" t="str">
        <f>'[1]COMEDORES EMERGENTES'!$B$14</f>
        <v>VALLE VIEJO - SUMALAO</v>
      </c>
      <c r="C689" s="175"/>
      <c r="D689" s="89" t="s">
        <v>138</v>
      </c>
      <c r="E689" s="90" t="str">
        <f>'[1]COMEDORES EMERGENTES'!$G$14</f>
        <v>PADRE SEGURA S/N</v>
      </c>
    </row>
    <row r="690" spans="2:5" x14ac:dyDescent="0.2">
      <c r="B690" s="174" t="str">
        <f>'[1]COMEDORES EMERGENTES'!$B$15</f>
        <v>NUESTRO FUTURO - LAS VIAS</v>
      </c>
      <c r="C690" s="175"/>
      <c r="D690" s="89" t="s">
        <v>136</v>
      </c>
      <c r="E690" s="90" t="str">
        <f>'[1]COMEDORES EMERGENTES'!$G$15</f>
        <v>Bº LAS VIAS OESTE LOTE 42</v>
      </c>
    </row>
    <row r="691" spans="2:5" x14ac:dyDescent="0.2">
      <c r="B691" s="174" t="str">
        <f>'[1]COMEDORES EMERGENTES'!$B$16</f>
        <v>SAN JOSE OBRERO</v>
      </c>
      <c r="C691" s="175"/>
      <c r="D691" s="89" t="s">
        <v>135</v>
      </c>
      <c r="E691" s="90" t="str">
        <f>'[1]COMEDORES EMERGENTES'!$G$16</f>
        <v>Bº SAN JOSE OBRERO. PJE. SANDOVAL S/Nº</v>
      </c>
    </row>
    <row r="692" spans="2:5" x14ac:dyDescent="0.2">
      <c r="B692" s="174" t="str">
        <f>'[1]COMEDORES EMERGENTES'!$B$17</f>
        <v>VIRGEN DE LUJAN</v>
      </c>
      <c r="C692" s="175"/>
      <c r="D692" s="89" t="s">
        <v>136</v>
      </c>
      <c r="E692" s="90" t="str">
        <f>'[1]COMEDORES EMERGENTES'!$G$17</f>
        <v>Bº OJO DE AGUA C/DR.TEODULFO BARRIONUEVO S/Nº</v>
      </c>
    </row>
    <row r="693" spans="2:5" x14ac:dyDescent="0.2">
      <c r="B693" s="174" t="str">
        <f>'[1]COMEDORES EMERGENTES'!$B$18</f>
        <v>RENACER</v>
      </c>
      <c r="C693" s="175"/>
      <c r="D693" s="89" t="s">
        <v>139</v>
      </c>
      <c r="E693" s="90" t="str">
        <f>'[1]COMEDORES EMERGENTES'!$G$18</f>
        <v>Bº VIRGEN MORENITA</v>
      </c>
    </row>
    <row r="694" spans="2:5" x14ac:dyDescent="0.2">
      <c r="B694" s="174" t="str">
        <f>'[1]COMEDORES EMERGENTES'!$B$19</f>
        <v>CENTRO VECINAL MI JARDIN</v>
      </c>
      <c r="C694" s="175"/>
      <c r="D694" s="89" t="s">
        <v>140</v>
      </c>
      <c r="E694" s="90" t="str">
        <f>'[1]COMEDORES EMERGENTES'!$G$19</f>
        <v>C/ LOS TULIPANES ENTRE FLOR DE CEREZO Y HOLANDA MZA.27 Bº MI JARDIN</v>
      </c>
    </row>
    <row r="695" spans="2:5" x14ac:dyDescent="0.2">
      <c r="B695" s="174" t="str">
        <f>'[1]COMEDORES EMERGENTES'!$B$20</f>
        <v>LA VIEJA ESQUINA</v>
      </c>
      <c r="C695" s="175"/>
      <c r="D695" s="89" t="s">
        <v>141</v>
      </c>
      <c r="E695" s="90" t="str">
        <f>'[1]COMEDORES EMERGENTES'!$G$20</f>
        <v>B° CRISTO REY PJE CAPATAZ VILLAFAÑEZ Y ARMANDO CORREA</v>
      </c>
    </row>
    <row r="696" spans="2:5" x14ac:dyDescent="0.2">
      <c r="B696" s="174" t="str">
        <f>'[1]COMEDORES EMERGENTES'!$B$21</f>
        <v>GAUCHITO GIL</v>
      </c>
      <c r="C696" s="175"/>
      <c r="D696" s="89" t="s">
        <v>142</v>
      </c>
      <c r="E696" s="90" t="str">
        <f>'[1]COMEDORES EMERGENTES'!$G$21</f>
        <v>B° 26 VIVIENDAS CASA N° 3</v>
      </c>
    </row>
    <row r="697" spans="2:5" ht="13.5" thickBot="1" x14ac:dyDescent="0.25">
      <c r="B697" s="191" t="str">
        <f>'[1]COMEDORES EMERGENTES'!$B$22</f>
        <v>LOS TOLDOS</v>
      </c>
      <c r="C697" s="192"/>
      <c r="D697" s="96" t="s">
        <v>162</v>
      </c>
      <c r="E697" s="97" t="str">
        <f>'[1]COMEDORES EMERGENTES'!$G$22</f>
        <v>LOTEO PARQUE SUR CALLE S/NOMBRE S/N°</v>
      </c>
    </row>
    <row r="698" spans="2:5" x14ac:dyDescent="0.2">
      <c r="B698" s="14" t="s">
        <v>18</v>
      </c>
      <c r="C698" s="12"/>
      <c r="D698" s="53"/>
      <c r="E698" s="13"/>
    </row>
    <row r="699" spans="2:5" x14ac:dyDescent="0.2">
      <c r="B699" s="15"/>
      <c r="C699" s="190" t="s">
        <v>24</v>
      </c>
      <c r="D699" s="190"/>
      <c r="E699" s="190"/>
    </row>
    <row r="700" spans="2:5" x14ac:dyDescent="0.2">
      <c r="B700" s="14" t="s">
        <v>19</v>
      </c>
      <c r="C700" s="16"/>
      <c r="D700" s="16"/>
      <c r="E700" s="17"/>
    </row>
    <row r="701" spans="2:5" x14ac:dyDescent="0.2">
      <c r="B701" s="15"/>
      <c r="C701" s="190" t="s">
        <v>101</v>
      </c>
      <c r="D701" s="190"/>
      <c r="E701" s="190"/>
    </row>
    <row r="702" spans="2:5" x14ac:dyDescent="0.2">
      <c r="B702" s="14" t="s">
        <v>20</v>
      </c>
      <c r="C702" s="12"/>
      <c r="D702" s="53"/>
      <c r="E702" s="13"/>
    </row>
    <row r="703" spans="2:5" x14ac:dyDescent="0.2">
      <c r="B703" s="14"/>
      <c r="C703" s="189" t="s">
        <v>25</v>
      </c>
      <c r="D703" s="189"/>
      <c r="E703" s="189"/>
    </row>
    <row r="704" spans="2:5" ht="13.5" thickBot="1" x14ac:dyDescent="0.25">
      <c r="B704" s="18"/>
      <c r="C704" s="19"/>
      <c r="D704" s="54"/>
      <c r="E704" s="20"/>
    </row>
    <row r="705" spans="2:5" ht="13.5" thickBot="1" x14ac:dyDescent="0.25"/>
    <row r="706" spans="2:5" x14ac:dyDescent="0.2">
      <c r="B706" s="8" t="s">
        <v>118</v>
      </c>
      <c r="C706" s="9"/>
      <c r="D706" s="52"/>
      <c r="E706" s="10"/>
    </row>
    <row r="707" spans="2:5" x14ac:dyDescent="0.2">
      <c r="B707" s="11"/>
      <c r="C707" s="12"/>
      <c r="D707" s="53"/>
      <c r="E707" s="13"/>
    </row>
    <row r="708" spans="2:5" x14ac:dyDescent="0.2">
      <c r="B708" s="14" t="s">
        <v>16</v>
      </c>
      <c r="C708" s="12"/>
      <c r="D708" s="53"/>
      <c r="E708" s="13"/>
    </row>
    <row r="709" spans="2:5" ht="25.5" customHeight="1" x14ac:dyDescent="0.2">
      <c r="B709" s="14"/>
      <c r="C709" s="190"/>
      <c r="D709" s="190"/>
      <c r="E709" s="190"/>
    </row>
    <row r="710" spans="2:5" ht="13.5" thickBot="1" x14ac:dyDescent="0.25">
      <c r="B710" s="14" t="s">
        <v>17</v>
      </c>
      <c r="C710" s="12"/>
      <c r="D710" s="53"/>
      <c r="E710" s="13"/>
    </row>
    <row r="711" spans="2:5" ht="13.5" thickBot="1" x14ac:dyDescent="0.25">
      <c r="B711" s="176" t="s">
        <v>98</v>
      </c>
      <c r="C711" s="177"/>
      <c r="D711" s="177"/>
      <c r="E711" s="178"/>
    </row>
    <row r="712" spans="2:5" ht="13.5" thickBot="1" x14ac:dyDescent="0.25">
      <c r="B712" s="176" t="s">
        <v>99</v>
      </c>
      <c r="C712" s="178"/>
      <c r="D712" s="50" t="s">
        <v>11</v>
      </c>
      <c r="E712" s="50" t="s">
        <v>100</v>
      </c>
    </row>
    <row r="713" spans="2:5" x14ac:dyDescent="0.2">
      <c r="B713" s="183" t="str">
        <f>'[1]COMEDORES EMERGENTES'!$B$3</f>
        <v>UNA SONRISA AV. LOS COBACHO</v>
      </c>
      <c r="C713" s="184"/>
      <c r="D713" s="94" t="s">
        <v>165</v>
      </c>
      <c r="E713" s="95" t="str">
        <f>'[1]COMEDORES EMERGENTES'!$G$3</f>
        <v>Bº SAN CARLOS OESTE AV. Bonifacio cobacho 670</v>
      </c>
    </row>
    <row r="714" spans="2:5" x14ac:dyDescent="0.2">
      <c r="B714" s="174" t="str">
        <f>'[1]COMEDORES EMERGENTES'!$B$4</f>
        <v>C.I.F Nº1 - RIVERA DEL VALLE Y FLORIDA</v>
      </c>
      <c r="C714" s="175"/>
      <c r="D714" s="89" t="s">
        <v>191</v>
      </c>
      <c r="E714" s="90" t="str">
        <f>'[1]COMEDORES EMERGENTES'!$G$4</f>
        <v>AV. RIVIERA DEL VALLE ENTRE FLORIDA Y SANTA FE</v>
      </c>
    </row>
    <row r="715" spans="2:5" x14ac:dyDescent="0.2">
      <c r="B715" s="174" t="str">
        <f>'[1]COMEDORES EMERGENTES'!$B$5</f>
        <v>C.I.F - RIVERA DEL VALLE - DILORENZO</v>
      </c>
      <c r="C715" s="175"/>
      <c r="D715" s="89" t="s">
        <v>192</v>
      </c>
      <c r="E715" s="90" t="str">
        <f>'[1]COMEDORES EMERGENTES'!$G$5</f>
        <v>Bº RIVERA DEL VALLE ENTRE VILLA EUMELIA Y MONTE CRISTO</v>
      </c>
    </row>
    <row r="716" spans="2:5" x14ac:dyDescent="0.2">
      <c r="B716" s="174" t="str">
        <f>'[1]COMEDORES EMERGENTES'!$B$6</f>
        <v>ESFUERZO PROPIO- Bº ALTOS DE CHOYA</v>
      </c>
      <c r="C716" s="175"/>
      <c r="D716" s="89" t="s">
        <v>179</v>
      </c>
      <c r="E716" s="90" t="str">
        <f>'[1]COMEDORES EMERGENTES'!$G$6</f>
        <v>Bº MUNICIPAL 35VV. NORTE C/14</v>
      </c>
    </row>
    <row r="717" spans="2:5" x14ac:dyDescent="0.2">
      <c r="B717" s="174" t="str">
        <f>'[1]COMEDORES EMERGENTES'!$B$7</f>
        <v>ANGELITOS - LOTEO SUSSEX</v>
      </c>
      <c r="C717" s="175"/>
      <c r="D717" s="89" t="s">
        <v>154</v>
      </c>
      <c r="E717" s="90" t="str">
        <f>'[1]COMEDORES EMERGENTES'!$G$7</f>
        <v>Bº LOTEO SUSEX MZA.Nº 4 LOTE Nº3</v>
      </c>
    </row>
    <row r="718" spans="2:5" x14ac:dyDescent="0.2">
      <c r="B718" s="174" t="str">
        <f>'[1]COMEDORES EMERGENTES'!$B$8</f>
        <v>CLUB DEPORTIVO CHACARITA</v>
      </c>
      <c r="C718" s="175"/>
      <c r="D718" s="89" t="s">
        <v>193</v>
      </c>
      <c r="E718" s="90" t="str">
        <f>'[1]COMEDORES EMERGENTES'!$G$8</f>
        <v>CALLE DR.DERMIDIO GALINDEZ C/2660</v>
      </c>
    </row>
    <row r="719" spans="2:5" x14ac:dyDescent="0.2">
      <c r="B719" s="174" t="str">
        <f>'[1]COMEDORES EMERGENTES'!$B$9</f>
        <v>LA MORO</v>
      </c>
      <c r="C719" s="175"/>
      <c r="D719" s="89" t="s">
        <v>171</v>
      </c>
      <c r="E719" s="90" t="str">
        <f>'[1]COMEDORES EMERGENTES'!$G$9</f>
        <v>MAIPU NORTE 1º ETAPA MZA "H" Bº MI JARDIN</v>
      </c>
    </row>
    <row r="720" spans="2:5" x14ac:dyDescent="0.2">
      <c r="B720" s="174" t="str">
        <f>'[1]COMEDORES EMERGENTES'!$B$10</f>
        <v>PAPA FRANCISCO</v>
      </c>
      <c r="C720" s="175"/>
      <c r="D720" s="89" t="s">
        <v>194</v>
      </c>
      <c r="E720" s="90" t="str">
        <f>'[1]COMEDORES EMERGENTES'!$G$10</f>
        <v>ENTRE AV.TEREBINTO Y AV.SAN JUAN LOTE "2" MZA. "B"</v>
      </c>
    </row>
    <row r="721" spans="2:5" x14ac:dyDescent="0.2">
      <c r="B721" s="174" t="str">
        <f>'[1]COMEDORES EMERGENTES'!$B$11</f>
        <v>E.P.C - 100 V.V NORTE</v>
      </c>
      <c r="C721" s="175"/>
      <c r="D721" s="89" t="s">
        <v>195</v>
      </c>
      <c r="E721" s="90" t="str">
        <f>'[1]COMEDORES EMERGENTES'!$G$11</f>
        <v>Bº VV NORTE C/48 ENTRE ESPAÑA Y FRANCIA</v>
      </c>
    </row>
    <row r="722" spans="2:5" x14ac:dyDescent="0.2">
      <c r="B722" s="174" t="str">
        <f>'[1]COMEDORES EMERGENTES'!$B$12</f>
        <v>HOGAR DE CRISTO - PADRE RAUL CONTRERAS</v>
      </c>
      <c r="C722" s="175"/>
      <c r="D722" s="89" t="s">
        <v>195</v>
      </c>
      <c r="E722" s="90" t="str">
        <f>'[1]COMEDORES EMERGENTES'!$G$12</f>
        <v>Bº SANTA MARTA MZA. "S" LOTE "M" C/39</v>
      </c>
    </row>
    <row r="723" spans="2:5" x14ac:dyDescent="0.2">
      <c r="B723" s="174" t="str">
        <f>'[1]COMEDORES EMERGENTES'!$B$13</f>
        <v>LA LUCIERNAGA</v>
      </c>
      <c r="C723" s="175"/>
      <c r="D723" s="89" t="s">
        <v>194</v>
      </c>
      <c r="E723" s="90" t="str">
        <f>'[1]COMEDORES EMERGENTES'!$G$13</f>
        <v>Bº 20 V.V NORTE C/3</v>
      </c>
    </row>
    <row r="724" spans="2:5" x14ac:dyDescent="0.2">
      <c r="B724" s="174" t="str">
        <f>'[1]COMEDORES EMERGENTES'!$B$14</f>
        <v>VALLE VIEJO - SUMALAO</v>
      </c>
      <c r="C724" s="175"/>
      <c r="D724" s="89" t="s">
        <v>196</v>
      </c>
      <c r="E724" s="90" t="str">
        <f>'[1]COMEDORES EMERGENTES'!$G$14</f>
        <v>PADRE SEGURA S/N</v>
      </c>
    </row>
    <row r="725" spans="2:5" x14ac:dyDescent="0.2">
      <c r="B725" s="174" t="str">
        <f>'[1]COMEDORES EMERGENTES'!$B$15</f>
        <v>NUESTRO FUTURO - LAS VIAS</v>
      </c>
      <c r="C725" s="175"/>
      <c r="D725" s="89" t="s">
        <v>194</v>
      </c>
      <c r="E725" s="90" t="str">
        <f>'[1]COMEDORES EMERGENTES'!$G$15</f>
        <v>Bº LAS VIAS OESTE LOTE 42</v>
      </c>
    </row>
    <row r="726" spans="2:5" x14ac:dyDescent="0.2">
      <c r="B726" s="174" t="str">
        <f>'[1]COMEDORES EMERGENTES'!$B$16</f>
        <v>SAN JOSE OBRERO</v>
      </c>
      <c r="C726" s="175"/>
      <c r="D726" s="89" t="s">
        <v>193</v>
      </c>
      <c r="E726" s="90" t="str">
        <f>'[1]COMEDORES EMERGENTES'!$G$16</f>
        <v>Bº SAN JOSE OBRERO. PJE. SANDOVAL S/Nº</v>
      </c>
    </row>
    <row r="727" spans="2:5" x14ac:dyDescent="0.2">
      <c r="B727" s="174" t="str">
        <f>'[1]COMEDORES EMERGENTES'!$B$17</f>
        <v>VIRGEN DE LUJAN</v>
      </c>
      <c r="C727" s="175"/>
      <c r="D727" s="89" t="s">
        <v>194</v>
      </c>
      <c r="E727" s="90" t="str">
        <f>'[1]COMEDORES EMERGENTES'!$G$17</f>
        <v>Bº OJO DE AGUA C/DR.TEODULFO BARRIONUEVO S/Nº</v>
      </c>
    </row>
    <row r="728" spans="2:5" x14ac:dyDescent="0.2">
      <c r="B728" s="174" t="str">
        <f>'[1]COMEDORES EMERGENTES'!$B$18</f>
        <v>RENACER</v>
      </c>
      <c r="C728" s="175"/>
      <c r="D728" s="89" t="s">
        <v>197</v>
      </c>
      <c r="E728" s="90" t="str">
        <f>'[1]COMEDORES EMERGENTES'!$G$18</f>
        <v>Bº VIRGEN MORENITA</v>
      </c>
    </row>
    <row r="729" spans="2:5" x14ac:dyDescent="0.2">
      <c r="B729" s="174" t="str">
        <f>'[1]COMEDORES EMERGENTES'!$B$19</f>
        <v>CENTRO VECINAL MI JARDIN</v>
      </c>
      <c r="C729" s="175"/>
      <c r="D729" s="89" t="s">
        <v>198</v>
      </c>
      <c r="E729" s="90" t="str">
        <f>'[1]COMEDORES EMERGENTES'!$G$19</f>
        <v>C/ LOS TULIPANES ENTRE FLOR DE CEREZO Y HOLANDA MZA.27 Bº MI JARDIN</v>
      </c>
    </row>
    <row r="730" spans="2:5" x14ac:dyDescent="0.2">
      <c r="B730" s="174" t="str">
        <f>'[1]COMEDORES EMERGENTES'!$B$20</f>
        <v>LA VIEJA ESQUINA</v>
      </c>
      <c r="C730" s="175"/>
      <c r="D730" s="89" t="s">
        <v>199</v>
      </c>
      <c r="E730" s="90" t="str">
        <f>'[1]COMEDORES EMERGENTES'!$G$20</f>
        <v>B° CRISTO REY PJE CAPATAZ VILLAFAÑEZ Y ARMANDO CORREA</v>
      </c>
    </row>
    <row r="731" spans="2:5" x14ac:dyDescent="0.2">
      <c r="B731" s="174" t="str">
        <f>'[1]COMEDORES EMERGENTES'!$B$21</f>
        <v>GAUCHITO GIL</v>
      </c>
      <c r="C731" s="175"/>
      <c r="D731" s="89" t="s">
        <v>200</v>
      </c>
      <c r="E731" s="90" t="str">
        <f>'[1]COMEDORES EMERGENTES'!$G$21</f>
        <v>B° 26 VIVIENDAS CASA N° 3</v>
      </c>
    </row>
    <row r="732" spans="2:5" ht="13.5" thickBot="1" x14ac:dyDescent="0.25">
      <c r="B732" s="191" t="str">
        <f>'[1]COMEDORES EMERGENTES'!$B$22</f>
        <v>LOS TOLDOS</v>
      </c>
      <c r="C732" s="192"/>
      <c r="D732" s="96" t="s">
        <v>150</v>
      </c>
      <c r="E732" s="97" t="str">
        <f>'[1]COMEDORES EMERGENTES'!$G$22</f>
        <v>LOTEO PARQUE SUR CALLE S/NOMBRE S/N°</v>
      </c>
    </row>
    <row r="733" spans="2:5" x14ac:dyDescent="0.2">
      <c r="B733" s="14" t="s">
        <v>18</v>
      </c>
      <c r="C733" s="12"/>
      <c r="D733" s="53"/>
      <c r="E733" s="13"/>
    </row>
    <row r="734" spans="2:5" x14ac:dyDescent="0.2">
      <c r="B734" s="15"/>
      <c r="C734" s="190" t="s">
        <v>24</v>
      </c>
      <c r="D734" s="190"/>
      <c r="E734" s="190"/>
    </row>
    <row r="735" spans="2:5" x14ac:dyDescent="0.2">
      <c r="B735" s="14" t="s">
        <v>19</v>
      </c>
      <c r="C735" s="16"/>
      <c r="D735" s="16"/>
      <c r="E735" s="17"/>
    </row>
    <row r="736" spans="2:5" x14ac:dyDescent="0.2">
      <c r="B736" s="15"/>
      <c r="C736" s="190" t="s">
        <v>101</v>
      </c>
      <c r="D736" s="190"/>
      <c r="E736" s="190"/>
    </row>
    <row r="737" spans="2:5" x14ac:dyDescent="0.2">
      <c r="B737" s="14" t="s">
        <v>20</v>
      </c>
      <c r="C737" s="12"/>
      <c r="D737" s="53"/>
      <c r="E737" s="13"/>
    </row>
    <row r="738" spans="2:5" x14ac:dyDescent="0.2">
      <c r="B738" s="14"/>
      <c r="C738" s="189" t="s">
        <v>25</v>
      </c>
      <c r="D738" s="189"/>
      <c r="E738" s="189"/>
    </row>
    <row r="739" spans="2:5" ht="13.5" thickBot="1" x14ac:dyDescent="0.25">
      <c r="B739" s="18"/>
      <c r="C739" s="19"/>
      <c r="D739" s="54"/>
      <c r="E739" s="20"/>
    </row>
    <row r="740" spans="2:5" ht="13.5" thickBot="1" x14ac:dyDescent="0.25"/>
    <row r="741" spans="2:5" x14ac:dyDescent="0.2">
      <c r="B741" s="8" t="s">
        <v>119</v>
      </c>
      <c r="C741" s="9"/>
      <c r="D741" s="52"/>
      <c r="E741" s="10"/>
    </row>
    <row r="742" spans="2:5" x14ac:dyDescent="0.2">
      <c r="B742" s="11"/>
      <c r="C742" s="12"/>
      <c r="D742" s="53"/>
      <c r="E742" s="13"/>
    </row>
    <row r="743" spans="2:5" x14ac:dyDescent="0.2">
      <c r="B743" s="14" t="s">
        <v>16</v>
      </c>
      <c r="C743" s="12"/>
      <c r="D743" s="53"/>
      <c r="E743" s="13"/>
    </row>
    <row r="744" spans="2:5" ht="25.5" customHeight="1" x14ac:dyDescent="0.2">
      <c r="B744" s="14"/>
      <c r="C744" s="190"/>
      <c r="D744" s="190"/>
      <c r="E744" s="190"/>
    </row>
    <row r="745" spans="2:5" ht="13.5" thickBot="1" x14ac:dyDescent="0.25">
      <c r="B745" s="14" t="s">
        <v>17</v>
      </c>
      <c r="C745" s="12"/>
      <c r="D745" s="53"/>
      <c r="E745" s="13"/>
    </row>
    <row r="746" spans="2:5" ht="13.5" thickBot="1" x14ac:dyDescent="0.25">
      <c r="B746" s="176" t="s">
        <v>201</v>
      </c>
      <c r="C746" s="177"/>
      <c r="D746" s="177"/>
      <c r="E746" s="178"/>
    </row>
    <row r="747" spans="2:5" ht="13.5" thickBot="1" x14ac:dyDescent="0.25">
      <c r="B747" s="176" t="s">
        <v>99</v>
      </c>
      <c r="C747" s="178"/>
      <c r="D747" s="50" t="s">
        <v>11</v>
      </c>
      <c r="E747" s="50" t="s">
        <v>100</v>
      </c>
    </row>
    <row r="748" spans="2:5" x14ac:dyDescent="0.2">
      <c r="B748" s="183" t="str">
        <f>'[1]COMEDORES EMERGENTES'!$B$3</f>
        <v>UNA SONRISA AV. LOS COBACHO</v>
      </c>
      <c r="C748" s="184"/>
      <c r="D748" s="94" t="s">
        <v>202</v>
      </c>
      <c r="E748" s="95" t="str">
        <f>'[1]COMEDORES EMERGENTES'!$G$3</f>
        <v>Bº SAN CARLOS OESTE AV. Bonifacio cobacho 670</v>
      </c>
    </row>
    <row r="749" spans="2:5" x14ac:dyDescent="0.2">
      <c r="B749" s="174" t="str">
        <f>'[1]COMEDORES EMERGENTES'!$B$4</f>
        <v>C.I.F Nº1 - RIVERA DEL VALLE Y FLORIDA</v>
      </c>
      <c r="C749" s="175"/>
      <c r="D749" s="89" t="s">
        <v>202</v>
      </c>
      <c r="E749" s="90" t="str">
        <f>'[1]COMEDORES EMERGENTES'!$G$4</f>
        <v>AV. RIVIERA DEL VALLE ENTRE FLORIDA Y SANTA FE</v>
      </c>
    </row>
    <row r="750" spans="2:5" x14ac:dyDescent="0.2">
      <c r="B750" s="174" t="str">
        <f>'[1]COMEDORES EMERGENTES'!$B$5</f>
        <v>C.I.F - RIVERA DEL VALLE - DILORENZO</v>
      </c>
      <c r="C750" s="175"/>
      <c r="D750" s="89" t="s">
        <v>202</v>
      </c>
      <c r="E750" s="90" t="str">
        <f>'[1]COMEDORES EMERGENTES'!$G$5</f>
        <v>Bº RIVERA DEL VALLE ENTRE VILLA EUMELIA Y MONTE CRISTO</v>
      </c>
    </row>
    <row r="751" spans="2:5" x14ac:dyDescent="0.2">
      <c r="B751" s="174" t="str">
        <f>'[1]COMEDORES EMERGENTES'!$B$6</f>
        <v>ESFUERZO PROPIO- Bº ALTOS DE CHOYA</v>
      </c>
      <c r="C751" s="175"/>
      <c r="D751" s="89" t="s">
        <v>202</v>
      </c>
      <c r="E751" s="90" t="str">
        <f>'[1]COMEDORES EMERGENTES'!$G$6</f>
        <v>Bº MUNICIPAL 35VV. NORTE C/14</v>
      </c>
    </row>
    <row r="752" spans="2:5" x14ac:dyDescent="0.2">
      <c r="B752" s="174" t="str">
        <f>'[1]COMEDORES EMERGENTES'!$B$7</f>
        <v>ANGELITOS - LOTEO SUSSEX</v>
      </c>
      <c r="C752" s="175"/>
      <c r="D752" s="89" t="s">
        <v>202</v>
      </c>
      <c r="E752" s="90" t="str">
        <f>'[1]COMEDORES EMERGENTES'!$G$7</f>
        <v>Bº LOTEO SUSEX MZA.Nº 4 LOTE Nº3</v>
      </c>
    </row>
    <row r="753" spans="2:5" x14ac:dyDescent="0.2">
      <c r="B753" s="174" t="str">
        <f>'[1]COMEDORES EMERGENTES'!$B$8</f>
        <v>CLUB DEPORTIVO CHACARITA</v>
      </c>
      <c r="C753" s="175"/>
      <c r="D753" s="89" t="s">
        <v>202</v>
      </c>
      <c r="E753" s="90" t="str">
        <f>'[1]COMEDORES EMERGENTES'!$G$8</f>
        <v>CALLE DR.DERMIDIO GALINDEZ C/2660</v>
      </c>
    </row>
    <row r="754" spans="2:5" x14ac:dyDescent="0.2">
      <c r="B754" s="174" t="str">
        <f>'[1]COMEDORES EMERGENTES'!$B$9</f>
        <v>LA MORO</v>
      </c>
      <c r="C754" s="175"/>
      <c r="D754" s="89" t="s">
        <v>202</v>
      </c>
      <c r="E754" s="90" t="str">
        <f>'[1]COMEDORES EMERGENTES'!$G$9</f>
        <v>MAIPU NORTE 1º ETAPA MZA "H" Bº MI JARDIN</v>
      </c>
    </row>
    <row r="755" spans="2:5" x14ac:dyDescent="0.2">
      <c r="B755" s="174" t="str">
        <f>'[1]COMEDORES EMERGENTES'!$B$10</f>
        <v>PAPA FRANCISCO</v>
      </c>
      <c r="C755" s="175"/>
      <c r="D755" s="89" t="s">
        <v>202</v>
      </c>
      <c r="E755" s="90" t="str">
        <f>'[1]COMEDORES EMERGENTES'!$G$10</f>
        <v>ENTRE AV.TEREBINTO Y AV.SAN JUAN LOTE "2" MZA. "B"</v>
      </c>
    </row>
    <row r="756" spans="2:5" x14ac:dyDescent="0.2">
      <c r="B756" s="174" t="str">
        <f>'[1]COMEDORES EMERGENTES'!$B$11</f>
        <v>E.P.C - 100 V.V NORTE</v>
      </c>
      <c r="C756" s="175"/>
      <c r="D756" s="89" t="s">
        <v>202</v>
      </c>
      <c r="E756" s="90" t="str">
        <f>'[1]COMEDORES EMERGENTES'!$G$11</f>
        <v>Bº VV NORTE C/48 ENTRE ESPAÑA Y FRANCIA</v>
      </c>
    </row>
    <row r="757" spans="2:5" x14ac:dyDescent="0.2">
      <c r="B757" s="174" t="str">
        <f>'[1]COMEDORES EMERGENTES'!$B$12</f>
        <v>HOGAR DE CRISTO - PADRE RAUL CONTRERAS</v>
      </c>
      <c r="C757" s="175"/>
      <c r="D757" s="89" t="s">
        <v>202</v>
      </c>
      <c r="E757" s="90" t="str">
        <f>'[1]COMEDORES EMERGENTES'!$G$12</f>
        <v>Bº SANTA MARTA MZA. "S" LOTE "M" C/39</v>
      </c>
    </row>
    <row r="758" spans="2:5" x14ac:dyDescent="0.2">
      <c r="B758" s="174" t="str">
        <f>'[1]COMEDORES EMERGENTES'!$B$13</f>
        <v>LA LUCIERNAGA</v>
      </c>
      <c r="C758" s="175"/>
      <c r="D758" s="89" t="s">
        <v>202</v>
      </c>
      <c r="E758" s="90" t="str">
        <f>'[1]COMEDORES EMERGENTES'!$G$13</f>
        <v>Bº 20 V.V NORTE C/3</v>
      </c>
    </row>
    <row r="759" spans="2:5" x14ac:dyDescent="0.2">
      <c r="B759" s="174" t="str">
        <f>'[1]COMEDORES EMERGENTES'!$B$14</f>
        <v>VALLE VIEJO - SUMALAO</v>
      </c>
      <c r="C759" s="175"/>
      <c r="D759" s="89" t="s">
        <v>202</v>
      </c>
      <c r="E759" s="90" t="str">
        <f>'[1]COMEDORES EMERGENTES'!$G$14</f>
        <v>PADRE SEGURA S/N</v>
      </c>
    </row>
    <row r="760" spans="2:5" x14ac:dyDescent="0.2">
      <c r="B760" s="174" t="str">
        <f>'[1]COMEDORES EMERGENTES'!$B$15</f>
        <v>NUESTRO FUTURO - LAS VIAS</v>
      </c>
      <c r="C760" s="175"/>
      <c r="D760" s="89" t="s">
        <v>202</v>
      </c>
      <c r="E760" s="90" t="str">
        <f>'[1]COMEDORES EMERGENTES'!$G$15</f>
        <v>Bº LAS VIAS OESTE LOTE 42</v>
      </c>
    </row>
    <row r="761" spans="2:5" x14ac:dyDescent="0.2">
      <c r="B761" s="174" t="str">
        <f>'[1]COMEDORES EMERGENTES'!$B$16</f>
        <v>SAN JOSE OBRERO</v>
      </c>
      <c r="C761" s="175"/>
      <c r="D761" s="89" t="s">
        <v>202</v>
      </c>
      <c r="E761" s="90" t="str">
        <f>'[1]COMEDORES EMERGENTES'!$G$16</f>
        <v>Bº SAN JOSE OBRERO. PJE. SANDOVAL S/Nº</v>
      </c>
    </row>
    <row r="762" spans="2:5" x14ac:dyDescent="0.2">
      <c r="B762" s="174" t="str">
        <f>'[1]COMEDORES EMERGENTES'!$B$17</f>
        <v>VIRGEN DE LUJAN</v>
      </c>
      <c r="C762" s="175"/>
      <c r="D762" s="89" t="s">
        <v>202</v>
      </c>
      <c r="E762" s="90" t="str">
        <f>'[1]COMEDORES EMERGENTES'!$G$17</f>
        <v>Bº OJO DE AGUA C/DR.TEODULFO BARRIONUEVO S/Nº</v>
      </c>
    </row>
    <row r="763" spans="2:5" x14ac:dyDescent="0.2">
      <c r="B763" s="174" t="str">
        <f>'[1]COMEDORES EMERGENTES'!$B$18</f>
        <v>RENACER</v>
      </c>
      <c r="C763" s="175"/>
      <c r="D763" s="89" t="s">
        <v>202</v>
      </c>
      <c r="E763" s="90" t="str">
        <f>'[1]COMEDORES EMERGENTES'!$G$18</f>
        <v>Bº VIRGEN MORENITA</v>
      </c>
    </row>
    <row r="764" spans="2:5" x14ac:dyDescent="0.2">
      <c r="B764" s="174" t="str">
        <f>'[1]COMEDORES EMERGENTES'!$B$19</f>
        <v>CENTRO VECINAL MI JARDIN</v>
      </c>
      <c r="C764" s="175"/>
      <c r="D764" s="89" t="s">
        <v>202</v>
      </c>
      <c r="E764" s="90" t="str">
        <f>'[1]COMEDORES EMERGENTES'!$G$19</f>
        <v>C/ LOS TULIPANES ENTRE FLOR DE CEREZO Y HOLANDA MZA.27 Bº MI JARDIN</v>
      </c>
    </row>
    <row r="765" spans="2:5" x14ac:dyDescent="0.2">
      <c r="B765" s="174" t="str">
        <f>'[1]COMEDORES EMERGENTES'!$B$20</f>
        <v>LA VIEJA ESQUINA</v>
      </c>
      <c r="C765" s="175"/>
      <c r="D765" s="89" t="s">
        <v>202</v>
      </c>
      <c r="E765" s="90" t="str">
        <f>'[1]COMEDORES EMERGENTES'!$G$20</f>
        <v>B° CRISTO REY PJE CAPATAZ VILLAFAÑEZ Y ARMANDO CORREA</v>
      </c>
    </row>
    <row r="766" spans="2:5" x14ac:dyDescent="0.2">
      <c r="B766" s="174" t="str">
        <f>'[1]COMEDORES EMERGENTES'!$B$21</f>
        <v>GAUCHITO GIL</v>
      </c>
      <c r="C766" s="175"/>
      <c r="D766" s="89" t="s">
        <v>202</v>
      </c>
      <c r="E766" s="90" t="str">
        <f>'[1]COMEDORES EMERGENTES'!$G$21</f>
        <v>B° 26 VIVIENDAS CASA N° 3</v>
      </c>
    </row>
    <row r="767" spans="2:5" ht="13.5" thickBot="1" x14ac:dyDescent="0.25">
      <c r="B767" s="191" t="str">
        <f>'[1]COMEDORES EMERGENTES'!$B$22</f>
        <v>LOS TOLDOS</v>
      </c>
      <c r="C767" s="192"/>
      <c r="D767" s="96" t="s">
        <v>202</v>
      </c>
      <c r="E767" s="97" t="str">
        <f>'[1]COMEDORES EMERGENTES'!$G$22</f>
        <v>LOTEO PARQUE SUR CALLE S/NOMBRE S/N°</v>
      </c>
    </row>
    <row r="768" spans="2:5" x14ac:dyDescent="0.2">
      <c r="B768" s="14" t="s">
        <v>18</v>
      </c>
      <c r="C768" s="12"/>
      <c r="D768" s="53"/>
      <c r="E768" s="13"/>
    </row>
    <row r="769" spans="2:5" x14ac:dyDescent="0.2">
      <c r="B769" s="15"/>
      <c r="C769" s="190" t="s">
        <v>24</v>
      </c>
      <c r="D769" s="190"/>
      <c r="E769" s="190"/>
    </row>
    <row r="770" spans="2:5" x14ac:dyDescent="0.2">
      <c r="B770" s="14" t="s">
        <v>19</v>
      </c>
      <c r="C770" s="16"/>
      <c r="D770" s="16"/>
      <c r="E770" s="17"/>
    </row>
    <row r="771" spans="2:5" x14ac:dyDescent="0.2">
      <c r="B771" s="15"/>
      <c r="C771" s="190" t="s">
        <v>101</v>
      </c>
      <c r="D771" s="190"/>
      <c r="E771" s="190"/>
    </row>
    <row r="772" spans="2:5" x14ac:dyDescent="0.2">
      <c r="B772" s="14" t="s">
        <v>20</v>
      </c>
      <c r="C772" s="12"/>
      <c r="D772" s="53"/>
      <c r="E772" s="13"/>
    </row>
    <row r="773" spans="2:5" x14ac:dyDescent="0.2">
      <c r="B773" s="14"/>
      <c r="C773" s="189" t="s">
        <v>25</v>
      </c>
      <c r="D773" s="189"/>
      <c r="E773" s="189"/>
    </row>
    <row r="774" spans="2:5" ht="13.5" thickBot="1" x14ac:dyDescent="0.25">
      <c r="B774" s="18"/>
      <c r="C774" s="19"/>
      <c r="D774" s="54"/>
      <c r="E774" s="20"/>
    </row>
    <row r="775" spans="2:5" ht="13.5" thickBot="1" x14ac:dyDescent="0.25"/>
    <row r="776" spans="2:5" x14ac:dyDescent="0.2">
      <c r="B776" s="8" t="s">
        <v>120</v>
      </c>
      <c r="C776" s="9"/>
      <c r="D776" s="52"/>
      <c r="E776" s="10"/>
    </row>
    <row r="777" spans="2:5" x14ac:dyDescent="0.2">
      <c r="B777" s="11"/>
      <c r="C777" s="12"/>
      <c r="D777" s="53"/>
      <c r="E777" s="13"/>
    </row>
    <row r="778" spans="2:5" x14ac:dyDescent="0.2">
      <c r="B778" s="14" t="s">
        <v>16</v>
      </c>
      <c r="C778" s="12"/>
      <c r="D778" s="53"/>
      <c r="E778" s="13"/>
    </row>
    <row r="779" spans="2:5" ht="25.5" customHeight="1" x14ac:dyDescent="0.2">
      <c r="B779" s="14"/>
      <c r="C779" s="190"/>
      <c r="D779" s="190"/>
      <c r="E779" s="190"/>
    </row>
    <row r="780" spans="2:5" ht="13.5" thickBot="1" x14ac:dyDescent="0.25">
      <c r="B780" s="14" t="s">
        <v>17</v>
      </c>
      <c r="C780" s="12"/>
      <c r="D780" s="53"/>
      <c r="E780" s="13"/>
    </row>
    <row r="781" spans="2:5" ht="13.5" thickBot="1" x14ac:dyDescent="0.25">
      <c r="B781" s="176" t="s">
        <v>201</v>
      </c>
      <c r="C781" s="177"/>
      <c r="D781" s="177"/>
      <c r="E781" s="178"/>
    </row>
    <row r="782" spans="2:5" ht="13.5" thickBot="1" x14ac:dyDescent="0.25">
      <c r="B782" s="176" t="s">
        <v>99</v>
      </c>
      <c r="C782" s="178"/>
      <c r="D782" s="50" t="s">
        <v>11</v>
      </c>
      <c r="E782" s="50" t="s">
        <v>100</v>
      </c>
    </row>
    <row r="783" spans="2:5" x14ac:dyDescent="0.2">
      <c r="B783" s="183" t="str">
        <f>'[1]COMEDORES EMERGENTES'!$B$3</f>
        <v>UNA SONRISA AV. LOS COBACHO</v>
      </c>
      <c r="C783" s="184"/>
      <c r="D783" s="94" t="s">
        <v>202</v>
      </c>
      <c r="E783" s="95" t="str">
        <f>'[1]COMEDORES EMERGENTES'!$G$3</f>
        <v>Bº SAN CARLOS OESTE AV. Bonifacio cobacho 670</v>
      </c>
    </row>
    <row r="784" spans="2:5" x14ac:dyDescent="0.2">
      <c r="B784" s="174" t="str">
        <f>'[1]COMEDORES EMERGENTES'!$B$4</f>
        <v>C.I.F Nº1 - RIVERA DEL VALLE Y FLORIDA</v>
      </c>
      <c r="C784" s="175"/>
      <c r="D784" s="89" t="s">
        <v>202</v>
      </c>
      <c r="E784" s="90" t="str">
        <f>'[1]COMEDORES EMERGENTES'!$G$4</f>
        <v>AV. RIVIERA DEL VALLE ENTRE FLORIDA Y SANTA FE</v>
      </c>
    </row>
    <row r="785" spans="2:5" x14ac:dyDescent="0.2">
      <c r="B785" s="174" t="str">
        <f>'[1]COMEDORES EMERGENTES'!$B$5</f>
        <v>C.I.F - RIVERA DEL VALLE - DILORENZO</v>
      </c>
      <c r="C785" s="175"/>
      <c r="D785" s="89" t="s">
        <v>202</v>
      </c>
      <c r="E785" s="90" t="str">
        <f>'[1]COMEDORES EMERGENTES'!$G$5</f>
        <v>Bº RIVERA DEL VALLE ENTRE VILLA EUMELIA Y MONTE CRISTO</v>
      </c>
    </row>
    <row r="786" spans="2:5" x14ac:dyDescent="0.2">
      <c r="B786" s="174" t="str">
        <f>'[1]COMEDORES EMERGENTES'!$B$6</f>
        <v>ESFUERZO PROPIO- Bº ALTOS DE CHOYA</v>
      </c>
      <c r="C786" s="175"/>
      <c r="D786" s="89" t="s">
        <v>202</v>
      </c>
      <c r="E786" s="90" t="str">
        <f>'[1]COMEDORES EMERGENTES'!$G$6</f>
        <v>Bº MUNICIPAL 35VV. NORTE C/14</v>
      </c>
    </row>
    <row r="787" spans="2:5" x14ac:dyDescent="0.2">
      <c r="B787" s="174" t="str">
        <f>'[1]COMEDORES EMERGENTES'!$B$7</f>
        <v>ANGELITOS - LOTEO SUSSEX</v>
      </c>
      <c r="C787" s="175"/>
      <c r="D787" s="89" t="s">
        <v>202</v>
      </c>
      <c r="E787" s="90" t="str">
        <f>'[1]COMEDORES EMERGENTES'!$G$7</f>
        <v>Bº LOTEO SUSEX MZA.Nº 4 LOTE Nº3</v>
      </c>
    </row>
    <row r="788" spans="2:5" x14ac:dyDescent="0.2">
      <c r="B788" s="174" t="str">
        <f>'[1]COMEDORES EMERGENTES'!$B$8</f>
        <v>CLUB DEPORTIVO CHACARITA</v>
      </c>
      <c r="C788" s="175"/>
      <c r="D788" s="89" t="s">
        <v>202</v>
      </c>
      <c r="E788" s="90" t="str">
        <f>'[1]COMEDORES EMERGENTES'!$G$8</f>
        <v>CALLE DR.DERMIDIO GALINDEZ C/2660</v>
      </c>
    </row>
    <row r="789" spans="2:5" x14ac:dyDescent="0.2">
      <c r="B789" s="174" t="str">
        <f>'[1]COMEDORES EMERGENTES'!$B$9</f>
        <v>LA MORO</v>
      </c>
      <c r="C789" s="175"/>
      <c r="D789" s="89" t="s">
        <v>202</v>
      </c>
      <c r="E789" s="90" t="str">
        <f>'[1]COMEDORES EMERGENTES'!$G$9</f>
        <v>MAIPU NORTE 1º ETAPA MZA "H" Bº MI JARDIN</v>
      </c>
    </row>
    <row r="790" spans="2:5" x14ac:dyDescent="0.2">
      <c r="B790" s="174" t="str">
        <f>'[1]COMEDORES EMERGENTES'!$B$10</f>
        <v>PAPA FRANCISCO</v>
      </c>
      <c r="C790" s="175"/>
      <c r="D790" s="89" t="s">
        <v>202</v>
      </c>
      <c r="E790" s="90" t="str">
        <f>'[1]COMEDORES EMERGENTES'!$G$10</f>
        <v>ENTRE AV.TEREBINTO Y AV.SAN JUAN LOTE "2" MZA. "B"</v>
      </c>
    </row>
    <row r="791" spans="2:5" x14ac:dyDescent="0.2">
      <c r="B791" s="174" t="str">
        <f>'[1]COMEDORES EMERGENTES'!$B$11</f>
        <v>E.P.C - 100 V.V NORTE</v>
      </c>
      <c r="C791" s="175"/>
      <c r="D791" s="89" t="s">
        <v>202</v>
      </c>
      <c r="E791" s="90" t="str">
        <f>'[1]COMEDORES EMERGENTES'!$G$11</f>
        <v>Bº VV NORTE C/48 ENTRE ESPAÑA Y FRANCIA</v>
      </c>
    </row>
    <row r="792" spans="2:5" x14ac:dyDescent="0.2">
      <c r="B792" s="174" t="str">
        <f>'[1]COMEDORES EMERGENTES'!$B$12</f>
        <v>HOGAR DE CRISTO - PADRE RAUL CONTRERAS</v>
      </c>
      <c r="C792" s="175"/>
      <c r="D792" s="89" t="s">
        <v>202</v>
      </c>
      <c r="E792" s="90" t="str">
        <f>'[1]COMEDORES EMERGENTES'!$G$12</f>
        <v>Bº SANTA MARTA MZA. "S" LOTE "M" C/39</v>
      </c>
    </row>
    <row r="793" spans="2:5" x14ac:dyDescent="0.2">
      <c r="B793" s="174" t="str">
        <f>'[1]COMEDORES EMERGENTES'!$B$13</f>
        <v>LA LUCIERNAGA</v>
      </c>
      <c r="C793" s="175"/>
      <c r="D793" s="89" t="s">
        <v>202</v>
      </c>
      <c r="E793" s="90" t="str">
        <f>'[1]COMEDORES EMERGENTES'!$G$13</f>
        <v>Bº 20 V.V NORTE C/3</v>
      </c>
    </row>
    <row r="794" spans="2:5" x14ac:dyDescent="0.2">
      <c r="B794" s="174" t="str">
        <f>'[1]COMEDORES EMERGENTES'!$B$14</f>
        <v>VALLE VIEJO - SUMALAO</v>
      </c>
      <c r="C794" s="175"/>
      <c r="D794" s="89" t="s">
        <v>202</v>
      </c>
      <c r="E794" s="90" t="str">
        <f>'[1]COMEDORES EMERGENTES'!$G$14</f>
        <v>PADRE SEGURA S/N</v>
      </c>
    </row>
    <row r="795" spans="2:5" x14ac:dyDescent="0.2">
      <c r="B795" s="174" t="str">
        <f>'[1]COMEDORES EMERGENTES'!$B$15</f>
        <v>NUESTRO FUTURO - LAS VIAS</v>
      </c>
      <c r="C795" s="175"/>
      <c r="D795" s="89" t="s">
        <v>202</v>
      </c>
      <c r="E795" s="90" t="str">
        <f>'[1]COMEDORES EMERGENTES'!$G$15</f>
        <v>Bº LAS VIAS OESTE LOTE 42</v>
      </c>
    </row>
    <row r="796" spans="2:5" x14ac:dyDescent="0.2">
      <c r="B796" s="174" t="str">
        <f>'[1]COMEDORES EMERGENTES'!$B$16</f>
        <v>SAN JOSE OBRERO</v>
      </c>
      <c r="C796" s="175"/>
      <c r="D796" s="89" t="s">
        <v>202</v>
      </c>
      <c r="E796" s="90" t="str">
        <f>'[1]COMEDORES EMERGENTES'!$G$16</f>
        <v>Bº SAN JOSE OBRERO. PJE. SANDOVAL S/Nº</v>
      </c>
    </row>
    <row r="797" spans="2:5" x14ac:dyDescent="0.2">
      <c r="B797" s="174" t="str">
        <f>'[1]COMEDORES EMERGENTES'!$B$17</f>
        <v>VIRGEN DE LUJAN</v>
      </c>
      <c r="C797" s="175"/>
      <c r="D797" s="89" t="s">
        <v>202</v>
      </c>
      <c r="E797" s="90" t="str">
        <f>'[1]COMEDORES EMERGENTES'!$G$17</f>
        <v>Bº OJO DE AGUA C/DR.TEODULFO BARRIONUEVO S/Nº</v>
      </c>
    </row>
    <row r="798" spans="2:5" x14ac:dyDescent="0.2">
      <c r="B798" s="174" t="str">
        <f>'[1]COMEDORES EMERGENTES'!$B$18</f>
        <v>RENACER</v>
      </c>
      <c r="C798" s="175"/>
      <c r="D798" s="89" t="s">
        <v>202</v>
      </c>
      <c r="E798" s="90" t="str">
        <f>'[1]COMEDORES EMERGENTES'!$G$18</f>
        <v>Bº VIRGEN MORENITA</v>
      </c>
    </row>
    <row r="799" spans="2:5" x14ac:dyDescent="0.2">
      <c r="B799" s="174" t="str">
        <f>'[1]COMEDORES EMERGENTES'!$B$19</f>
        <v>CENTRO VECINAL MI JARDIN</v>
      </c>
      <c r="C799" s="175"/>
      <c r="D799" s="89" t="s">
        <v>202</v>
      </c>
      <c r="E799" s="90" t="str">
        <f>'[1]COMEDORES EMERGENTES'!$G$19</f>
        <v>C/ LOS TULIPANES ENTRE FLOR DE CEREZO Y HOLANDA MZA.27 Bº MI JARDIN</v>
      </c>
    </row>
    <row r="800" spans="2:5" x14ac:dyDescent="0.2">
      <c r="B800" s="174" t="str">
        <f>'[1]COMEDORES EMERGENTES'!$B$20</f>
        <v>LA VIEJA ESQUINA</v>
      </c>
      <c r="C800" s="175"/>
      <c r="D800" s="89" t="s">
        <v>202</v>
      </c>
      <c r="E800" s="90" t="str">
        <f>'[1]COMEDORES EMERGENTES'!$G$20</f>
        <v>B° CRISTO REY PJE CAPATAZ VILLAFAÑEZ Y ARMANDO CORREA</v>
      </c>
    </row>
    <row r="801" spans="2:5" x14ac:dyDescent="0.2">
      <c r="B801" s="174" t="str">
        <f>'[1]COMEDORES EMERGENTES'!$B$21</f>
        <v>GAUCHITO GIL</v>
      </c>
      <c r="C801" s="175"/>
      <c r="D801" s="89" t="s">
        <v>202</v>
      </c>
      <c r="E801" s="90" t="str">
        <f>'[1]COMEDORES EMERGENTES'!$G$21</f>
        <v>B° 26 VIVIENDAS CASA N° 3</v>
      </c>
    </row>
    <row r="802" spans="2:5" ht="13.5" thickBot="1" x14ac:dyDescent="0.25">
      <c r="B802" s="191" t="str">
        <f>'[1]COMEDORES EMERGENTES'!$B$22</f>
        <v>LOS TOLDOS</v>
      </c>
      <c r="C802" s="192"/>
      <c r="D802" s="96" t="s">
        <v>202</v>
      </c>
      <c r="E802" s="97" t="str">
        <f>'[1]COMEDORES EMERGENTES'!$G$22</f>
        <v>LOTEO PARQUE SUR CALLE S/NOMBRE S/N°</v>
      </c>
    </row>
    <row r="803" spans="2:5" x14ac:dyDescent="0.2">
      <c r="B803" s="14" t="s">
        <v>18</v>
      </c>
      <c r="C803" s="12"/>
      <c r="D803" s="53"/>
      <c r="E803" s="13"/>
    </row>
    <row r="804" spans="2:5" x14ac:dyDescent="0.2">
      <c r="B804" s="15"/>
      <c r="C804" s="190" t="s">
        <v>24</v>
      </c>
      <c r="D804" s="190"/>
      <c r="E804" s="190"/>
    </row>
    <row r="805" spans="2:5" x14ac:dyDescent="0.2">
      <c r="B805" s="14" t="s">
        <v>19</v>
      </c>
      <c r="C805" s="16"/>
      <c r="D805" s="16"/>
      <c r="E805" s="17"/>
    </row>
    <row r="806" spans="2:5" x14ac:dyDescent="0.2">
      <c r="B806" s="15"/>
      <c r="C806" s="190" t="s">
        <v>101</v>
      </c>
      <c r="D806" s="190"/>
      <c r="E806" s="190"/>
    </row>
    <row r="807" spans="2:5" x14ac:dyDescent="0.2">
      <c r="B807" s="14" t="s">
        <v>20</v>
      </c>
      <c r="C807" s="12"/>
      <c r="D807" s="53"/>
      <c r="E807" s="13"/>
    </row>
    <row r="808" spans="2:5" x14ac:dyDescent="0.2">
      <c r="B808" s="14"/>
      <c r="C808" s="189" t="s">
        <v>25</v>
      </c>
      <c r="D808" s="189"/>
      <c r="E808" s="189"/>
    </row>
    <row r="809" spans="2:5" ht="13.5" thickBot="1" x14ac:dyDescent="0.25">
      <c r="B809" s="18"/>
      <c r="C809" s="19"/>
      <c r="D809" s="54"/>
      <c r="E809" s="20"/>
    </row>
    <row r="810" spans="2:5" ht="13.5" thickBot="1" x14ac:dyDescent="0.25"/>
    <row r="811" spans="2:5" x14ac:dyDescent="0.2">
      <c r="B811" s="8" t="s">
        <v>121</v>
      </c>
      <c r="C811" s="9"/>
      <c r="D811" s="52"/>
      <c r="E811" s="10"/>
    </row>
    <row r="812" spans="2:5" x14ac:dyDescent="0.2">
      <c r="B812" s="11"/>
      <c r="C812" s="12"/>
      <c r="D812" s="53"/>
      <c r="E812" s="13"/>
    </row>
    <row r="813" spans="2:5" x14ac:dyDescent="0.2">
      <c r="B813" s="14" t="s">
        <v>16</v>
      </c>
      <c r="C813" s="12"/>
      <c r="D813" s="53"/>
      <c r="E813" s="13"/>
    </row>
    <row r="814" spans="2:5" ht="25.5" customHeight="1" x14ac:dyDescent="0.2">
      <c r="B814" s="14"/>
      <c r="C814" s="190"/>
      <c r="D814" s="190"/>
      <c r="E814" s="190"/>
    </row>
    <row r="815" spans="2:5" ht="13.5" thickBot="1" x14ac:dyDescent="0.25">
      <c r="B815" s="14" t="s">
        <v>17</v>
      </c>
      <c r="C815" s="12"/>
      <c r="D815" s="53"/>
      <c r="E815" s="13"/>
    </row>
    <row r="816" spans="2:5" ht="13.5" thickBot="1" x14ac:dyDescent="0.25">
      <c r="B816" s="176" t="s">
        <v>201</v>
      </c>
      <c r="C816" s="177"/>
      <c r="D816" s="177"/>
      <c r="E816" s="178"/>
    </row>
    <row r="817" spans="2:5" ht="13.5" thickBot="1" x14ac:dyDescent="0.25">
      <c r="B817" s="176" t="s">
        <v>99</v>
      </c>
      <c r="C817" s="178"/>
      <c r="D817" s="50" t="s">
        <v>11</v>
      </c>
      <c r="E817" s="50" t="s">
        <v>100</v>
      </c>
    </row>
    <row r="818" spans="2:5" x14ac:dyDescent="0.2">
      <c r="B818" s="183" t="str">
        <f>'[1]COMEDORES EMERGENTES'!$B$3</f>
        <v>UNA SONRISA AV. LOS COBACHO</v>
      </c>
      <c r="C818" s="184"/>
      <c r="D818" s="94" t="s">
        <v>202</v>
      </c>
      <c r="E818" s="95" t="str">
        <f>'[1]COMEDORES EMERGENTES'!$G$3</f>
        <v>Bº SAN CARLOS OESTE AV. Bonifacio cobacho 670</v>
      </c>
    </row>
    <row r="819" spans="2:5" x14ac:dyDescent="0.2">
      <c r="B819" s="174" t="str">
        <f>'[1]COMEDORES EMERGENTES'!$B$4</f>
        <v>C.I.F Nº1 - RIVERA DEL VALLE Y FLORIDA</v>
      </c>
      <c r="C819" s="175"/>
      <c r="D819" s="89" t="s">
        <v>202</v>
      </c>
      <c r="E819" s="90" t="str">
        <f>'[1]COMEDORES EMERGENTES'!$G$4</f>
        <v>AV. RIVIERA DEL VALLE ENTRE FLORIDA Y SANTA FE</v>
      </c>
    </row>
    <row r="820" spans="2:5" x14ac:dyDescent="0.2">
      <c r="B820" s="174" t="str">
        <f>'[1]COMEDORES EMERGENTES'!$B$5</f>
        <v>C.I.F - RIVERA DEL VALLE - DILORENZO</v>
      </c>
      <c r="C820" s="175"/>
      <c r="D820" s="89" t="s">
        <v>202</v>
      </c>
      <c r="E820" s="90" t="str">
        <f>'[1]COMEDORES EMERGENTES'!$G$5</f>
        <v>Bº RIVERA DEL VALLE ENTRE VILLA EUMELIA Y MONTE CRISTO</v>
      </c>
    </row>
    <row r="821" spans="2:5" x14ac:dyDescent="0.2">
      <c r="B821" s="174" t="str">
        <f>'[1]COMEDORES EMERGENTES'!$B$6</f>
        <v>ESFUERZO PROPIO- Bº ALTOS DE CHOYA</v>
      </c>
      <c r="C821" s="175"/>
      <c r="D821" s="89" t="s">
        <v>202</v>
      </c>
      <c r="E821" s="90" t="str">
        <f>'[1]COMEDORES EMERGENTES'!$G$6</f>
        <v>Bº MUNICIPAL 35VV. NORTE C/14</v>
      </c>
    </row>
    <row r="822" spans="2:5" x14ac:dyDescent="0.2">
      <c r="B822" s="174" t="str">
        <f>'[1]COMEDORES EMERGENTES'!$B$7</f>
        <v>ANGELITOS - LOTEO SUSSEX</v>
      </c>
      <c r="C822" s="175"/>
      <c r="D822" s="89" t="s">
        <v>202</v>
      </c>
      <c r="E822" s="90" t="str">
        <f>'[1]COMEDORES EMERGENTES'!$G$7</f>
        <v>Bº LOTEO SUSEX MZA.Nº 4 LOTE Nº3</v>
      </c>
    </row>
    <row r="823" spans="2:5" x14ac:dyDescent="0.2">
      <c r="B823" s="174" t="str">
        <f>'[1]COMEDORES EMERGENTES'!$B$8</f>
        <v>CLUB DEPORTIVO CHACARITA</v>
      </c>
      <c r="C823" s="175"/>
      <c r="D823" s="89" t="s">
        <v>202</v>
      </c>
      <c r="E823" s="90" t="str">
        <f>'[1]COMEDORES EMERGENTES'!$G$8</f>
        <v>CALLE DR.DERMIDIO GALINDEZ C/2660</v>
      </c>
    </row>
    <row r="824" spans="2:5" x14ac:dyDescent="0.2">
      <c r="B824" s="174" t="str">
        <f>'[1]COMEDORES EMERGENTES'!$B$9</f>
        <v>LA MORO</v>
      </c>
      <c r="C824" s="175"/>
      <c r="D824" s="89" t="s">
        <v>202</v>
      </c>
      <c r="E824" s="90" t="str">
        <f>'[1]COMEDORES EMERGENTES'!$G$9</f>
        <v>MAIPU NORTE 1º ETAPA MZA "H" Bº MI JARDIN</v>
      </c>
    </row>
    <row r="825" spans="2:5" x14ac:dyDescent="0.2">
      <c r="B825" s="174" t="str">
        <f>'[1]COMEDORES EMERGENTES'!$B$10</f>
        <v>PAPA FRANCISCO</v>
      </c>
      <c r="C825" s="175"/>
      <c r="D825" s="89" t="s">
        <v>202</v>
      </c>
      <c r="E825" s="90" t="str">
        <f>'[1]COMEDORES EMERGENTES'!$G$10</f>
        <v>ENTRE AV.TEREBINTO Y AV.SAN JUAN LOTE "2" MZA. "B"</v>
      </c>
    </row>
    <row r="826" spans="2:5" x14ac:dyDescent="0.2">
      <c r="B826" s="174" t="str">
        <f>'[1]COMEDORES EMERGENTES'!$B$11</f>
        <v>E.P.C - 100 V.V NORTE</v>
      </c>
      <c r="C826" s="175"/>
      <c r="D826" s="89" t="s">
        <v>202</v>
      </c>
      <c r="E826" s="90" t="str">
        <f>'[1]COMEDORES EMERGENTES'!$G$11</f>
        <v>Bº VV NORTE C/48 ENTRE ESPAÑA Y FRANCIA</v>
      </c>
    </row>
    <row r="827" spans="2:5" x14ac:dyDescent="0.2">
      <c r="B827" s="174" t="str">
        <f>'[1]COMEDORES EMERGENTES'!$B$12</f>
        <v>HOGAR DE CRISTO - PADRE RAUL CONTRERAS</v>
      </c>
      <c r="C827" s="175"/>
      <c r="D827" s="89" t="s">
        <v>202</v>
      </c>
      <c r="E827" s="90" t="str">
        <f>'[1]COMEDORES EMERGENTES'!$G$12</f>
        <v>Bº SANTA MARTA MZA. "S" LOTE "M" C/39</v>
      </c>
    </row>
    <row r="828" spans="2:5" x14ac:dyDescent="0.2">
      <c r="B828" s="174" t="str">
        <f>'[1]COMEDORES EMERGENTES'!$B$13</f>
        <v>LA LUCIERNAGA</v>
      </c>
      <c r="C828" s="175"/>
      <c r="D828" s="89" t="s">
        <v>202</v>
      </c>
      <c r="E828" s="90" t="str">
        <f>'[1]COMEDORES EMERGENTES'!$G$13</f>
        <v>Bº 20 V.V NORTE C/3</v>
      </c>
    </row>
    <row r="829" spans="2:5" x14ac:dyDescent="0.2">
      <c r="B829" s="174" t="str">
        <f>'[1]COMEDORES EMERGENTES'!$B$14</f>
        <v>VALLE VIEJO - SUMALAO</v>
      </c>
      <c r="C829" s="175"/>
      <c r="D829" s="89" t="s">
        <v>202</v>
      </c>
      <c r="E829" s="90" t="str">
        <f>'[1]COMEDORES EMERGENTES'!$G$14</f>
        <v>PADRE SEGURA S/N</v>
      </c>
    </row>
    <row r="830" spans="2:5" x14ac:dyDescent="0.2">
      <c r="B830" s="174" t="str">
        <f>'[1]COMEDORES EMERGENTES'!$B$15</f>
        <v>NUESTRO FUTURO - LAS VIAS</v>
      </c>
      <c r="C830" s="175"/>
      <c r="D830" s="89" t="s">
        <v>202</v>
      </c>
      <c r="E830" s="90" t="str">
        <f>'[1]COMEDORES EMERGENTES'!$G$15</f>
        <v>Bº LAS VIAS OESTE LOTE 42</v>
      </c>
    </row>
    <row r="831" spans="2:5" x14ac:dyDescent="0.2">
      <c r="B831" s="174" t="str">
        <f>'[1]COMEDORES EMERGENTES'!$B$16</f>
        <v>SAN JOSE OBRERO</v>
      </c>
      <c r="C831" s="175"/>
      <c r="D831" s="89" t="s">
        <v>202</v>
      </c>
      <c r="E831" s="90" t="str">
        <f>'[1]COMEDORES EMERGENTES'!$G$16</f>
        <v>Bº SAN JOSE OBRERO. PJE. SANDOVAL S/Nº</v>
      </c>
    </row>
    <row r="832" spans="2:5" x14ac:dyDescent="0.2">
      <c r="B832" s="174" t="str">
        <f>'[1]COMEDORES EMERGENTES'!$B$17</f>
        <v>VIRGEN DE LUJAN</v>
      </c>
      <c r="C832" s="175"/>
      <c r="D832" s="89" t="s">
        <v>202</v>
      </c>
      <c r="E832" s="90" t="str">
        <f>'[1]COMEDORES EMERGENTES'!$G$17</f>
        <v>Bº OJO DE AGUA C/DR.TEODULFO BARRIONUEVO S/Nº</v>
      </c>
    </row>
    <row r="833" spans="2:5" x14ac:dyDescent="0.2">
      <c r="B833" s="174" t="str">
        <f>'[1]COMEDORES EMERGENTES'!$B$18</f>
        <v>RENACER</v>
      </c>
      <c r="C833" s="175"/>
      <c r="D833" s="89" t="s">
        <v>202</v>
      </c>
      <c r="E833" s="90" t="str">
        <f>'[1]COMEDORES EMERGENTES'!$G$18</f>
        <v>Bº VIRGEN MORENITA</v>
      </c>
    </row>
    <row r="834" spans="2:5" x14ac:dyDescent="0.2">
      <c r="B834" s="174" t="str">
        <f>'[1]COMEDORES EMERGENTES'!$B$19</f>
        <v>CENTRO VECINAL MI JARDIN</v>
      </c>
      <c r="C834" s="175"/>
      <c r="D834" s="89" t="s">
        <v>202</v>
      </c>
      <c r="E834" s="90" t="str">
        <f>'[1]COMEDORES EMERGENTES'!$G$19</f>
        <v>C/ LOS TULIPANES ENTRE FLOR DE CEREZO Y HOLANDA MZA.27 Bº MI JARDIN</v>
      </c>
    </row>
    <row r="835" spans="2:5" x14ac:dyDescent="0.2">
      <c r="B835" s="174" t="str">
        <f>'[1]COMEDORES EMERGENTES'!$B$20</f>
        <v>LA VIEJA ESQUINA</v>
      </c>
      <c r="C835" s="175"/>
      <c r="D835" s="89" t="s">
        <v>202</v>
      </c>
      <c r="E835" s="90" t="str">
        <f>'[1]COMEDORES EMERGENTES'!$G$20</f>
        <v>B° CRISTO REY PJE CAPATAZ VILLAFAÑEZ Y ARMANDO CORREA</v>
      </c>
    </row>
    <row r="836" spans="2:5" x14ac:dyDescent="0.2">
      <c r="B836" s="174" t="str">
        <f>'[1]COMEDORES EMERGENTES'!$B$21</f>
        <v>GAUCHITO GIL</v>
      </c>
      <c r="C836" s="175"/>
      <c r="D836" s="89" t="s">
        <v>202</v>
      </c>
      <c r="E836" s="90" t="str">
        <f>'[1]COMEDORES EMERGENTES'!$G$21</f>
        <v>B° 26 VIVIENDAS CASA N° 3</v>
      </c>
    </row>
    <row r="837" spans="2:5" ht="13.5" thickBot="1" x14ac:dyDescent="0.25">
      <c r="B837" s="191" t="str">
        <f>'[1]COMEDORES EMERGENTES'!$B$22</f>
        <v>LOS TOLDOS</v>
      </c>
      <c r="C837" s="192"/>
      <c r="D837" s="96" t="s">
        <v>202</v>
      </c>
      <c r="E837" s="97" t="str">
        <f>'[1]COMEDORES EMERGENTES'!$G$22</f>
        <v>LOTEO PARQUE SUR CALLE S/NOMBRE S/N°</v>
      </c>
    </row>
    <row r="838" spans="2:5" x14ac:dyDescent="0.2">
      <c r="B838" s="14" t="s">
        <v>18</v>
      </c>
      <c r="C838" s="12"/>
      <c r="D838" s="53"/>
      <c r="E838" s="13"/>
    </row>
    <row r="839" spans="2:5" x14ac:dyDescent="0.2">
      <c r="B839" s="15"/>
      <c r="C839" s="190" t="s">
        <v>24</v>
      </c>
      <c r="D839" s="190"/>
      <c r="E839" s="190"/>
    </row>
    <row r="840" spans="2:5" x14ac:dyDescent="0.2">
      <c r="B840" s="14" t="s">
        <v>19</v>
      </c>
      <c r="C840" s="16"/>
      <c r="D840" s="16"/>
      <c r="E840" s="17"/>
    </row>
    <row r="841" spans="2:5" x14ac:dyDescent="0.2">
      <c r="B841" s="15"/>
      <c r="C841" s="190" t="s">
        <v>101</v>
      </c>
      <c r="D841" s="190"/>
      <c r="E841" s="190"/>
    </row>
    <row r="842" spans="2:5" x14ac:dyDescent="0.2">
      <c r="B842" s="14" t="s">
        <v>20</v>
      </c>
      <c r="C842" s="12"/>
      <c r="D842" s="53"/>
      <c r="E842" s="13"/>
    </row>
    <row r="843" spans="2:5" x14ac:dyDescent="0.2">
      <c r="B843" s="14"/>
      <c r="C843" s="189" t="s">
        <v>25</v>
      </c>
      <c r="D843" s="189"/>
      <c r="E843" s="189"/>
    </row>
    <row r="844" spans="2:5" ht="13.5" thickBot="1" x14ac:dyDescent="0.25">
      <c r="B844" s="18"/>
      <c r="C844" s="19"/>
      <c r="D844" s="54"/>
      <c r="E844" s="20"/>
    </row>
    <row r="845" spans="2:5" ht="13.5" thickBot="1" x14ac:dyDescent="0.25"/>
    <row r="846" spans="2:5" x14ac:dyDescent="0.2">
      <c r="B846" s="8" t="s">
        <v>122</v>
      </c>
      <c r="C846" s="9"/>
      <c r="D846" s="52"/>
      <c r="E846" s="10"/>
    </row>
    <row r="847" spans="2:5" x14ac:dyDescent="0.2">
      <c r="B847" s="11"/>
      <c r="C847" s="12"/>
      <c r="D847" s="53"/>
      <c r="E847" s="13"/>
    </row>
    <row r="848" spans="2:5" x14ac:dyDescent="0.2">
      <c r="B848" s="14" t="s">
        <v>16</v>
      </c>
      <c r="C848" s="12"/>
      <c r="D848" s="53"/>
      <c r="E848" s="13"/>
    </row>
    <row r="849" spans="2:5" ht="25.5" customHeight="1" x14ac:dyDescent="0.2">
      <c r="B849" s="14"/>
      <c r="C849" s="190"/>
      <c r="D849" s="190"/>
      <c r="E849" s="190"/>
    </row>
    <row r="850" spans="2:5" ht="13.5" thickBot="1" x14ac:dyDescent="0.25">
      <c r="B850" s="14" t="s">
        <v>17</v>
      </c>
      <c r="C850" s="12"/>
      <c r="D850" s="53"/>
      <c r="E850" s="13"/>
    </row>
    <row r="851" spans="2:5" ht="13.5" thickBot="1" x14ac:dyDescent="0.25">
      <c r="B851" s="176" t="s">
        <v>201</v>
      </c>
      <c r="C851" s="177"/>
      <c r="D851" s="177"/>
      <c r="E851" s="178"/>
    </row>
    <row r="852" spans="2:5" ht="13.5" thickBot="1" x14ac:dyDescent="0.25">
      <c r="B852" s="176" t="s">
        <v>99</v>
      </c>
      <c r="C852" s="178"/>
      <c r="D852" s="50" t="s">
        <v>11</v>
      </c>
      <c r="E852" s="50" t="s">
        <v>100</v>
      </c>
    </row>
    <row r="853" spans="2:5" x14ac:dyDescent="0.2">
      <c r="B853" s="183" t="str">
        <f>'[1]COMEDORES EMERGENTES'!$B$3</f>
        <v>UNA SONRISA AV. LOS COBACHO</v>
      </c>
      <c r="C853" s="184"/>
      <c r="D853" s="94" t="s">
        <v>202</v>
      </c>
      <c r="E853" s="95" t="str">
        <f>'[1]COMEDORES EMERGENTES'!$G$3</f>
        <v>Bº SAN CARLOS OESTE AV. Bonifacio cobacho 670</v>
      </c>
    </row>
    <row r="854" spans="2:5" x14ac:dyDescent="0.2">
      <c r="B854" s="174" t="str">
        <f>'[1]COMEDORES EMERGENTES'!$B$4</f>
        <v>C.I.F Nº1 - RIVERA DEL VALLE Y FLORIDA</v>
      </c>
      <c r="C854" s="175"/>
      <c r="D854" s="89" t="s">
        <v>202</v>
      </c>
      <c r="E854" s="90" t="str">
        <f>'[1]COMEDORES EMERGENTES'!$G$4</f>
        <v>AV. RIVIERA DEL VALLE ENTRE FLORIDA Y SANTA FE</v>
      </c>
    </row>
    <row r="855" spans="2:5" x14ac:dyDescent="0.2">
      <c r="B855" s="174" t="str">
        <f>'[1]COMEDORES EMERGENTES'!$B$5</f>
        <v>C.I.F - RIVERA DEL VALLE - DILORENZO</v>
      </c>
      <c r="C855" s="175"/>
      <c r="D855" s="89" t="s">
        <v>202</v>
      </c>
      <c r="E855" s="90" t="str">
        <f>'[1]COMEDORES EMERGENTES'!$G$5</f>
        <v>Bº RIVERA DEL VALLE ENTRE VILLA EUMELIA Y MONTE CRISTO</v>
      </c>
    </row>
    <row r="856" spans="2:5" x14ac:dyDescent="0.2">
      <c r="B856" s="174" t="str">
        <f>'[1]COMEDORES EMERGENTES'!$B$6</f>
        <v>ESFUERZO PROPIO- Bº ALTOS DE CHOYA</v>
      </c>
      <c r="C856" s="175"/>
      <c r="D856" s="89" t="s">
        <v>202</v>
      </c>
      <c r="E856" s="90" t="str">
        <f>'[1]COMEDORES EMERGENTES'!$G$6</f>
        <v>Bº MUNICIPAL 35VV. NORTE C/14</v>
      </c>
    </row>
    <row r="857" spans="2:5" x14ac:dyDescent="0.2">
      <c r="B857" s="174" t="str">
        <f>'[1]COMEDORES EMERGENTES'!$B$7</f>
        <v>ANGELITOS - LOTEO SUSSEX</v>
      </c>
      <c r="C857" s="175"/>
      <c r="D857" s="89" t="s">
        <v>202</v>
      </c>
      <c r="E857" s="90" t="str">
        <f>'[1]COMEDORES EMERGENTES'!$G$7</f>
        <v>Bº LOTEO SUSEX MZA.Nº 4 LOTE Nº3</v>
      </c>
    </row>
    <row r="858" spans="2:5" x14ac:dyDescent="0.2">
      <c r="B858" s="174" t="str">
        <f>'[1]COMEDORES EMERGENTES'!$B$8</f>
        <v>CLUB DEPORTIVO CHACARITA</v>
      </c>
      <c r="C858" s="175"/>
      <c r="D858" s="89" t="s">
        <v>202</v>
      </c>
      <c r="E858" s="90" t="str">
        <f>'[1]COMEDORES EMERGENTES'!$G$8</f>
        <v>CALLE DR.DERMIDIO GALINDEZ C/2660</v>
      </c>
    </row>
    <row r="859" spans="2:5" x14ac:dyDescent="0.2">
      <c r="B859" s="174" t="str">
        <f>'[1]COMEDORES EMERGENTES'!$B$9</f>
        <v>LA MORO</v>
      </c>
      <c r="C859" s="175"/>
      <c r="D859" s="89" t="s">
        <v>202</v>
      </c>
      <c r="E859" s="90" t="str">
        <f>'[1]COMEDORES EMERGENTES'!$G$9</f>
        <v>MAIPU NORTE 1º ETAPA MZA "H" Bº MI JARDIN</v>
      </c>
    </row>
    <row r="860" spans="2:5" x14ac:dyDescent="0.2">
      <c r="B860" s="174" t="str">
        <f>'[1]COMEDORES EMERGENTES'!$B$10</f>
        <v>PAPA FRANCISCO</v>
      </c>
      <c r="C860" s="175"/>
      <c r="D860" s="89" t="s">
        <v>202</v>
      </c>
      <c r="E860" s="90" t="str">
        <f>'[1]COMEDORES EMERGENTES'!$G$10</f>
        <v>ENTRE AV.TEREBINTO Y AV.SAN JUAN LOTE "2" MZA. "B"</v>
      </c>
    </row>
    <row r="861" spans="2:5" x14ac:dyDescent="0.2">
      <c r="B861" s="174" t="str">
        <f>'[1]COMEDORES EMERGENTES'!$B$11</f>
        <v>E.P.C - 100 V.V NORTE</v>
      </c>
      <c r="C861" s="175"/>
      <c r="D861" s="89" t="s">
        <v>202</v>
      </c>
      <c r="E861" s="90" t="str">
        <f>'[1]COMEDORES EMERGENTES'!$G$11</f>
        <v>Bº VV NORTE C/48 ENTRE ESPAÑA Y FRANCIA</v>
      </c>
    </row>
    <row r="862" spans="2:5" x14ac:dyDescent="0.2">
      <c r="B862" s="174" t="str">
        <f>'[1]COMEDORES EMERGENTES'!$B$12</f>
        <v>HOGAR DE CRISTO - PADRE RAUL CONTRERAS</v>
      </c>
      <c r="C862" s="175"/>
      <c r="D862" s="89" t="s">
        <v>202</v>
      </c>
      <c r="E862" s="90" t="str">
        <f>'[1]COMEDORES EMERGENTES'!$G$12</f>
        <v>Bº SANTA MARTA MZA. "S" LOTE "M" C/39</v>
      </c>
    </row>
    <row r="863" spans="2:5" x14ac:dyDescent="0.2">
      <c r="B863" s="174" t="str">
        <f>'[1]COMEDORES EMERGENTES'!$B$13</f>
        <v>LA LUCIERNAGA</v>
      </c>
      <c r="C863" s="175"/>
      <c r="D863" s="89" t="s">
        <v>202</v>
      </c>
      <c r="E863" s="90" t="str">
        <f>'[1]COMEDORES EMERGENTES'!$G$13</f>
        <v>Bº 20 V.V NORTE C/3</v>
      </c>
    </row>
    <row r="864" spans="2:5" x14ac:dyDescent="0.2">
      <c r="B864" s="174" t="str">
        <f>'[1]COMEDORES EMERGENTES'!$B$14</f>
        <v>VALLE VIEJO - SUMALAO</v>
      </c>
      <c r="C864" s="175"/>
      <c r="D864" s="89" t="s">
        <v>202</v>
      </c>
      <c r="E864" s="90" t="str">
        <f>'[1]COMEDORES EMERGENTES'!$G$14</f>
        <v>PADRE SEGURA S/N</v>
      </c>
    </row>
    <row r="865" spans="2:5" x14ac:dyDescent="0.2">
      <c r="B865" s="174" t="str">
        <f>'[1]COMEDORES EMERGENTES'!$B$15</f>
        <v>NUESTRO FUTURO - LAS VIAS</v>
      </c>
      <c r="C865" s="175"/>
      <c r="D865" s="89" t="s">
        <v>202</v>
      </c>
      <c r="E865" s="90" t="str">
        <f>'[1]COMEDORES EMERGENTES'!$G$15</f>
        <v>Bº LAS VIAS OESTE LOTE 42</v>
      </c>
    </row>
    <row r="866" spans="2:5" x14ac:dyDescent="0.2">
      <c r="B866" s="174" t="str">
        <f>'[1]COMEDORES EMERGENTES'!$B$16</f>
        <v>SAN JOSE OBRERO</v>
      </c>
      <c r="C866" s="175"/>
      <c r="D866" s="89" t="s">
        <v>202</v>
      </c>
      <c r="E866" s="90" t="str">
        <f>'[1]COMEDORES EMERGENTES'!$G$16</f>
        <v>Bº SAN JOSE OBRERO. PJE. SANDOVAL S/Nº</v>
      </c>
    </row>
    <row r="867" spans="2:5" x14ac:dyDescent="0.2">
      <c r="B867" s="174" t="str">
        <f>'[1]COMEDORES EMERGENTES'!$B$17</f>
        <v>VIRGEN DE LUJAN</v>
      </c>
      <c r="C867" s="175"/>
      <c r="D867" s="89" t="s">
        <v>202</v>
      </c>
      <c r="E867" s="90" t="str">
        <f>'[1]COMEDORES EMERGENTES'!$G$17</f>
        <v>Bº OJO DE AGUA C/DR.TEODULFO BARRIONUEVO S/Nº</v>
      </c>
    </row>
    <row r="868" spans="2:5" x14ac:dyDescent="0.2">
      <c r="B868" s="174" t="str">
        <f>'[1]COMEDORES EMERGENTES'!$B$18</f>
        <v>RENACER</v>
      </c>
      <c r="C868" s="175"/>
      <c r="D868" s="89" t="s">
        <v>202</v>
      </c>
      <c r="E868" s="90" t="str">
        <f>'[1]COMEDORES EMERGENTES'!$G$18</f>
        <v>Bº VIRGEN MORENITA</v>
      </c>
    </row>
    <row r="869" spans="2:5" x14ac:dyDescent="0.2">
      <c r="B869" s="174" t="str">
        <f>'[1]COMEDORES EMERGENTES'!$B$19</f>
        <v>CENTRO VECINAL MI JARDIN</v>
      </c>
      <c r="C869" s="175"/>
      <c r="D869" s="89" t="s">
        <v>202</v>
      </c>
      <c r="E869" s="90" t="str">
        <f>'[1]COMEDORES EMERGENTES'!$G$19</f>
        <v>C/ LOS TULIPANES ENTRE FLOR DE CEREZO Y HOLANDA MZA.27 Bº MI JARDIN</v>
      </c>
    </row>
    <row r="870" spans="2:5" x14ac:dyDescent="0.2">
      <c r="B870" s="174" t="str">
        <f>'[1]COMEDORES EMERGENTES'!$B$20</f>
        <v>LA VIEJA ESQUINA</v>
      </c>
      <c r="C870" s="175"/>
      <c r="D870" s="89" t="s">
        <v>202</v>
      </c>
      <c r="E870" s="90" t="str">
        <f>'[1]COMEDORES EMERGENTES'!$G$20</f>
        <v>B° CRISTO REY PJE CAPATAZ VILLAFAÑEZ Y ARMANDO CORREA</v>
      </c>
    </row>
    <row r="871" spans="2:5" x14ac:dyDescent="0.2">
      <c r="B871" s="174" t="str">
        <f>'[1]COMEDORES EMERGENTES'!$B$21</f>
        <v>GAUCHITO GIL</v>
      </c>
      <c r="C871" s="175"/>
      <c r="D871" s="89" t="s">
        <v>202</v>
      </c>
      <c r="E871" s="90" t="str">
        <f>'[1]COMEDORES EMERGENTES'!$G$21</f>
        <v>B° 26 VIVIENDAS CASA N° 3</v>
      </c>
    </row>
    <row r="872" spans="2:5" ht="13.5" thickBot="1" x14ac:dyDescent="0.25">
      <c r="B872" s="191" t="str">
        <f>'[1]COMEDORES EMERGENTES'!$B$22</f>
        <v>LOS TOLDOS</v>
      </c>
      <c r="C872" s="192"/>
      <c r="D872" s="96" t="s">
        <v>202</v>
      </c>
      <c r="E872" s="97" t="str">
        <f>'[1]COMEDORES EMERGENTES'!$G$22</f>
        <v>LOTEO PARQUE SUR CALLE S/NOMBRE S/N°</v>
      </c>
    </row>
    <row r="873" spans="2:5" x14ac:dyDescent="0.2">
      <c r="B873" s="14" t="s">
        <v>18</v>
      </c>
      <c r="C873" s="12"/>
      <c r="D873" s="53"/>
      <c r="E873" s="13"/>
    </row>
    <row r="874" spans="2:5" x14ac:dyDescent="0.2">
      <c r="B874" s="15"/>
      <c r="C874" s="190" t="s">
        <v>24</v>
      </c>
      <c r="D874" s="190"/>
      <c r="E874" s="190"/>
    </row>
    <row r="875" spans="2:5" x14ac:dyDescent="0.2">
      <c r="B875" s="14" t="s">
        <v>19</v>
      </c>
      <c r="C875" s="16"/>
      <c r="D875" s="16"/>
      <c r="E875" s="17"/>
    </row>
    <row r="876" spans="2:5" x14ac:dyDescent="0.2">
      <c r="B876" s="15"/>
      <c r="C876" s="190" t="s">
        <v>101</v>
      </c>
      <c r="D876" s="190"/>
      <c r="E876" s="190"/>
    </row>
    <row r="877" spans="2:5" x14ac:dyDescent="0.2">
      <c r="B877" s="14" t="s">
        <v>20</v>
      </c>
      <c r="C877" s="12"/>
      <c r="D877" s="53"/>
      <c r="E877" s="13"/>
    </row>
    <row r="878" spans="2:5" x14ac:dyDescent="0.2">
      <c r="B878" s="14"/>
      <c r="C878" s="189" t="s">
        <v>25</v>
      </c>
      <c r="D878" s="189"/>
      <c r="E878" s="189"/>
    </row>
    <row r="879" spans="2:5" ht="13.5" thickBot="1" x14ac:dyDescent="0.25">
      <c r="B879" s="18"/>
      <c r="C879" s="19"/>
      <c r="D879" s="54"/>
      <c r="E879" s="20"/>
    </row>
    <row r="880" spans="2:5" ht="13.5" thickBot="1" x14ac:dyDescent="0.25"/>
    <row r="881" spans="2:5" x14ac:dyDescent="0.2">
      <c r="B881" s="8" t="s">
        <v>123</v>
      </c>
      <c r="C881" s="9"/>
      <c r="D881" s="52"/>
      <c r="E881" s="10"/>
    </row>
    <row r="882" spans="2:5" x14ac:dyDescent="0.2">
      <c r="B882" s="11"/>
      <c r="C882" s="12"/>
      <c r="D882" s="53"/>
      <c r="E882" s="13"/>
    </row>
    <row r="883" spans="2:5" x14ac:dyDescent="0.2">
      <c r="B883" s="14" t="s">
        <v>16</v>
      </c>
      <c r="C883" s="12"/>
      <c r="D883" s="53"/>
      <c r="E883" s="13"/>
    </row>
    <row r="884" spans="2:5" ht="25.5" customHeight="1" x14ac:dyDescent="0.2">
      <c r="B884" s="14"/>
      <c r="C884" s="180"/>
      <c r="D884" s="180"/>
      <c r="E884" s="181"/>
    </row>
    <row r="885" spans="2:5" ht="13.5" thickBot="1" x14ac:dyDescent="0.25">
      <c r="B885" s="14" t="s">
        <v>17</v>
      </c>
      <c r="C885" s="12"/>
      <c r="D885" s="53"/>
      <c r="E885" s="13"/>
    </row>
    <row r="886" spans="2:5" ht="13.5" thickBot="1" x14ac:dyDescent="0.25">
      <c r="B886" s="176" t="s">
        <v>98</v>
      </c>
      <c r="C886" s="177"/>
      <c r="D886" s="177"/>
      <c r="E886" s="178"/>
    </row>
    <row r="887" spans="2:5" ht="13.5" thickBot="1" x14ac:dyDescent="0.25">
      <c r="B887" s="176" t="s">
        <v>99</v>
      </c>
      <c r="C887" s="178"/>
      <c r="D887" s="50" t="s">
        <v>11</v>
      </c>
      <c r="E887" s="50" t="s">
        <v>100</v>
      </c>
    </row>
    <row r="888" spans="2:5" x14ac:dyDescent="0.2">
      <c r="B888" s="183" t="str">
        <f>'[1]COMEDORES EMERGENTES'!$B$3</f>
        <v>UNA SONRISA AV. LOS COBACHO</v>
      </c>
      <c r="C888" s="184"/>
      <c r="D888" s="94">
        <v>2</v>
      </c>
      <c r="E888" s="95" t="str">
        <f>'[1]COMEDORES EMERGENTES'!$G$3</f>
        <v>Bº SAN CARLOS OESTE AV. Bonifacio cobacho 670</v>
      </c>
    </row>
    <row r="889" spans="2:5" x14ac:dyDescent="0.2">
      <c r="B889" s="174" t="str">
        <f>'[1]COMEDORES EMERGENTES'!$B$4</f>
        <v>C.I.F Nº1 - RIVERA DEL VALLE Y FLORIDA</v>
      </c>
      <c r="C889" s="175"/>
      <c r="D889" s="89">
        <v>2</v>
      </c>
      <c r="E889" s="90" t="str">
        <f>'[1]COMEDORES EMERGENTES'!$G$4</f>
        <v>AV. RIVIERA DEL VALLE ENTRE FLORIDA Y SANTA FE</v>
      </c>
    </row>
    <row r="890" spans="2:5" x14ac:dyDescent="0.2">
      <c r="B890" s="174" t="str">
        <f>'[1]COMEDORES EMERGENTES'!$B$5</f>
        <v>C.I.F - RIVERA DEL VALLE - DILORENZO</v>
      </c>
      <c r="C890" s="175"/>
      <c r="D890" s="89">
        <v>3</v>
      </c>
      <c r="E890" s="90" t="str">
        <f>'[1]COMEDORES EMERGENTES'!$G$5</f>
        <v>Bº RIVERA DEL VALLE ENTRE VILLA EUMELIA Y MONTE CRISTO</v>
      </c>
    </row>
    <row r="891" spans="2:5" x14ac:dyDescent="0.2">
      <c r="B891" s="174" t="str">
        <f>'[1]COMEDORES EMERGENTES'!$B$6</f>
        <v>ESFUERZO PROPIO- Bº ALTOS DE CHOYA</v>
      </c>
      <c r="C891" s="175"/>
      <c r="D891" s="89">
        <v>2</v>
      </c>
      <c r="E891" s="90" t="str">
        <f>'[1]COMEDORES EMERGENTES'!$G$6</f>
        <v>Bº MUNICIPAL 35VV. NORTE C/14</v>
      </c>
    </row>
    <row r="892" spans="2:5" x14ac:dyDescent="0.2">
      <c r="B892" s="174" t="str">
        <f>'[1]COMEDORES EMERGENTES'!$B$7</f>
        <v>ANGELITOS - LOTEO SUSSEX</v>
      </c>
      <c r="C892" s="175"/>
      <c r="D892" s="89">
        <v>1</v>
      </c>
      <c r="E892" s="90" t="str">
        <f>'[1]COMEDORES EMERGENTES'!$G$7</f>
        <v>Bº LOTEO SUSEX MZA.Nº 4 LOTE Nº3</v>
      </c>
    </row>
    <row r="893" spans="2:5" x14ac:dyDescent="0.2">
      <c r="B893" s="174" t="str">
        <f>'[1]COMEDORES EMERGENTES'!$B$8</f>
        <v>CLUB DEPORTIVO CHACARITA</v>
      </c>
      <c r="C893" s="175"/>
      <c r="D893" s="89">
        <v>1</v>
      </c>
      <c r="E893" s="90" t="str">
        <f>'[1]COMEDORES EMERGENTES'!$G$8</f>
        <v>CALLE DR.DERMIDIO GALINDEZ C/2660</v>
      </c>
    </row>
    <row r="894" spans="2:5" x14ac:dyDescent="0.2">
      <c r="B894" s="174" t="str">
        <f>'[1]COMEDORES EMERGENTES'!$B$9</f>
        <v>LA MORO</v>
      </c>
      <c r="C894" s="175"/>
      <c r="D894" s="89">
        <v>1</v>
      </c>
      <c r="E894" s="90" t="str">
        <f>'[1]COMEDORES EMERGENTES'!$G$9</f>
        <v>MAIPU NORTE 1º ETAPA MZA "H" Bº MI JARDIN</v>
      </c>
    </row>
    <row r="895" spans="2:5" x14ac:dyDescent="0.2">
      <c r="B895" s="174" t="str">
        <f>'[1]COMEDORES EMERGENTES'!$B$10</f>
        <v>PAPA FRANCISCO</v>
      </c>
      <c r="C895" s="175"/>
      <c r="D895" s="89">
        <v>2</v>
      </c>
      <c r="E895" s="90" t="str">
        <f>'[1]COMEDORES EMERGENTES'!$G$10</f>
        <v>ENTRE AV.TEREBINTO Y AV.SAN JUAN LOTE "2" MZA. "B"</v>
      </c>
    </row>
    <row r="896" spans="2:5" x14ac:dyDescent="0.2">
      <c r="B896" s="174" t="str">
        <f>'[1]COMEDORES EMERGENTES'!$B$11</f>
        <v>E.P.C - 100 V.V NORTE</v>
      </c>
      <c r="C896" s="175"/>
      <c r="D896" s="89">
        <v>3</v>
      </c>
      <c r="E896" s="90" t="str">
        <f>'[1]COMEDORES EMERGENTES'!$G$11</f>
        <v>Bº VV NORTE C/48 ENTRE ESPAÑA Y FRANCIA</v>
      </c>
    </row>
    <row r="897" spans="2:5" x14ac:dyDescent="0.2">
      <c r="B897" s="174" t="str">
        <f>'[1]COMEDORES EMERGENTES'!$B$12</f>
        <v>HOGAR DE CRISTO - PADRE RAUL CONTRERAS</v>
      </c>
      <c r="C897" s="175"/>
      <c r="D897" s="89">
        <v>3</v>
      </c>
      <c r="E897" s="90" t="str">
        <f>'[1]COMEDORES EMERGENTES'!$G$12</f>
        <v>Bº SANTA MARTA MZA. "S" LOTE "M" C/39</v>
      </c>
    </row>
    <row r="898" spans="2:5" x14ac:dyDescent="0.2">
      <c r="B898" s="174" t="str">
        <f>'[1]COMEDORES EMERGENTES'!$B$13</f>
        <v>LA LUCIERNAGA</v>
      </c>
      <c r="C898" s="175"/>
      <c r="D898" s="89">
        <v>2</v>
      </c>
      <c r="E898" s="90" t="str">
        <f>'[1]COMEDORES EMERGENTES'!$G$13</f>
        <v>Bº 20 V.V NORTE C/3</v>
      </c>
    </row>
    <row r="899" spans="2:5" x14ac:dyDescent="0.2">
      <c r="B899" s="174" t="str">
        <f>'[1]COMEDORES EMERGENTES'!$B$14</f>
        <v>VALLE VIEJO - SUMALAO</v>
      </c>
      <c r="C899" s="175"/>
      <c r="D899" s="89">
        <v>4</v>
      </c>
      <c r="E899" s="90" t="str">
        <f>'[1]COMEDORES EMERGENTES'!$G$14</f>
        <v>PADRE SEGURA S/N</v>
      </c>
    </row>
    <row r="900" spans="2:5" x14ac:dyDescent="0.2">
      <c r="B900" s="174" t="str">
        <f>'[1]COMEDORES EMERGENTES'!$B$15</f>
        <v>NUESTRO FUTURO - LAS VIAS</v>
      </c>
      <c r="C900" s="175"/>
      <c r="D900" s="89">
        <v>2</v>
      </c>
      <c r="E900" s="90" t="str">
        <f>'[1]COMEDORES EMERGENTES'!$G$15</f>
        <v>Bº LAS VIAS OESTE LOTE 42</v>
      </c>
    </row>
    <row r="901" spans="2:5" x14ac:dyDescent="0.2">
      <c r="B901" s="174" t="str">
        <f>'[1]COMEDORES EMERGENTES'!$B$16</f>
        <v>SAN JOSE OBRERO</v>
      </c>
      <c r="C901" s="175"/>
      <c r="D901" s="89">
        <v>1</v>
      </c>
      <c r="E901" s="90" t="str">
        <f>'[1]COMEDORES EMERGENTES'!$G$16</f>
        <v>Bº SAN JOSE OBRERO. PJE. SANDOVAL S/Nº</v>
      </c>
    </row>
    <row r="902" spans="2:5" x14ac:dyDescent="0.2">
      <c r="B902" s="174" t="str">
        <f>'[1]COMEDORES EMERGENTES'!$B$17</f>
        <v>VIRGEN DE LUJAN</v>
      </c>
      <c r="C902" s="175"/>
      <c r="D902" s="89">
        <v>2</v>
      </c>
      <c r="E902" s="90" t="str">
        <f>'[1]COMEDORES EMERGENTES'!$G$17</f>
        <v>Bº OJO DE AGUA C/DR.TEODULFO BARRIONUEVO S/Nº</v>
      </c>
    </row>
    <row r="903" spans="2:5" x14ac:dyDescent="0.2">
      <c r="B903" s="174" t="str">
        <f>'[1]COMEDORES EMERGENTES'!$B$18</f>
        <v>RENACER</v>
      </c>
      <c r="C903" s="175"/>
      <c r="D903" s="89">
        <v>3</v>
      </c>
      <c r="E903" s="90" t="str">
        <f>'[1]COMEDORES EMERGENTES'!$G$18</f>
        <v>Bº VIRGEN MORENITA</v>
      </c>
    </row>
    <row r="904" spans="2:5" x14ac:dyDescent="0.2">
      <c r="B904" s="174" t="str">
        <f>'[1]COMEDORES EMERGENTES'!$B$19</f>
        <v>CENTRO VECINAL MI JARDIN</v>
      </c>
      <c r="C904" s="175"/>
      <c r="D904" s="89">
        <v>2</v>
      </c>
      <c r="E904" s="90" t="str">
        <f>'[1]COMEDORES EMERGENTES'!$G$19</f>
        <v>C/ LOS TULIPANES ENTRE FLOR DE CEREZO Y HOLANDA MZA.27 Bº MI JARDIN</v>
      </c>
    </row>
    <row r="905" spans="2:5" x14ac:dyDescent="0.2">
      <c r="B905" s="174" t="str">
        <f>'[1]COMEDORES EMERGENTES'!$B$20</f>
        <v>LA VIEJA ESQUINA</v>
      </c>
      <c r="C905" s="175"/>
      <c r="D905" s="89">
        <v>2</v>
      </c>
      <c r="E905" s="90" t="str">
        <f>'[1]COMEDORES EMERGENTES'!$G$20</f>
        <v>B° CRISTO REY PJE CAPATAZ VILLAFAÑEZ Y ARMANDO CORREA</v>
      </c>
    </row>
    <row r="906" spans="2:5" x14ac:dyDescent="0.2">
      <c r="B906" s="174" t="str">
        <f>'[1]COMEDORES EMERGENTES'!$B$21</f>
        <v>GAUCHITO GIL</v>
      </c>
      <c r="C906" s="175"/>
      <c r="D906" s="89">
        <v>2</v>
      </c>
      <c r="E906" s="90" t="str">
        <f>'[1]COMEDORES EMERGENTES'!$G$21</f>
        <v>B° 26 VIVIENDAS CASA N° 3</v>
      </c>
    </row>
    <row r="907" spans="2:5" ht="13.5" thickBot="1" x14ac:dyDescent="0.25">
      <c r="B907" s="191" t="str">
        <f>'[1]COMEDORES EMERGENTES'!$B$22</f>
        <v>LOS TOLDOS</v>
      </c>
      <c r="C907" s="192"/>
      <c r="D907" s="96">
        <v>1</v>
      </c>
      <c r="E907" s="97" t="str">
        <f>'[1]COMEDORES EMERGENTES'!$G$22</f>
        <v>LOTEO PARQUE SUR CALLE S/NOMBRE S/N°</v>
      </c>
    </row>
    <row r="908" spans="2:5" x14ac:dyDescent="0.2">
      <c r="B908" s="14" t="s">
        <v>18</v>
      </c>
      <c r="C908" s="12"/>
      <c r="D908" s="53"/>
      <c r="E908" s="13"/>
    </row>
    <row r="909" spans="2:5" x14ac:dyDescent="0.2">
      <c r="B909" s="15"/>
      <c r="C909" s="190" t="s">
        <v>24</v>
      </c>
      <c r="D909" s="190"/>
      <c r="E909" s="190"/>
    </row>
    <row r="910" spans="2:5" x14ac:dyDescent="0.2">
      <c r="B910" s="14" t="s">
        <v>19</v>
      </c>
      <c r="C910" s="16"/>
      <c r="D910" s="16"/>
      <c r="E910" s="17"/>
    </row>
    <row r="911" spans="2:5" x14ac:dyDescent="0.2">
      <c r="B911" s="15"/>
      <c r="C911" s="190" t="s">
        <v>101</v>
      </c>
      <c r="D911" s="190"/>
      <c r="E911" s="190"/>
    </row>
    <row r="912" spans="2:5" x14ac:dyDescent="0.2">
      <c r="B912" s="14" t="s">
        <v>20</v>
      </c>
      <c r="C912" s="12"/>
      <c r="D912" s="53"/>
      <c r="E912" s="13"/>
    </row>
    <row r="913" spans="2:5" x14ac:dyDescent="0.2">
      <c r="B913" s="14"/>
      <c r="C913" s="189" t="s">
        <v>25</v>
      </c>
      <c r="D913" s="189"/>
      <c r="E913" s="189"/>
    </row>
    <row r="914" spans="2:5" ht="13.5" thickBot="1" x14ac:dyDescent="0.25">
      <c r="B914" s="18"/>
      <c r="C914" s="19"/>
      <c r="D914" s="54"/>
      <c r="E914" s="20"/>
    </row>
    <row r="915" spans="2:5" ht="13.5" thickBot="1" x14ac:dyDescent="0.25"/>
    <row r="916" spans="2:5" x14ac:dyDescent="0.2">
      <c r="B916" s="8" t="s">
        <v>124</v>
      </c>
      <c r="C916" s="9"/>
      <c r="D916" s="52"/>
      <c r="E916" s="10"/>
    </row>
    <row r="917" spans="2:5" x14ac:dyDescent="0.2">
      <c r="B917" s="11"/>
      <c r="C917" s="12"/>
      <c r="D917" s="53"/>
      <c r="E917" s="13"/>
    </row>
    <row r="918" spans="2:5" x14ac:dyDescent="0.2">
      <c r="B918" s="14" t="s">
        <v>16</v>
      </c>
      <c r="C918" s="12"/>
      <c r="D918" s="53"/>
      <c r="E918" s="13"/>
    </row>
    <row r="919" spans="2:5" ht="25.5" customHeight="1" x14ac:dyDescent="0.2">
      <c r="B919" s="14"/>
      <c r="C919" s="190"/>
      <c r="D919" s="190"/>
      <c r="E919" s="190"/>
    </row>
    <row r="920" spans="2:5" ht="13.5" thickBot="1" x14ac:dyDescent="0.25">
      <c r="B920" s="14" t="s">
        <v>17</v>
      </c>
      <c r="C920" s="12"/>
      <c r="D920" s="53"/>
      <c r="E920" s="13"/>
    </row>
    <row r="921" spans="2:5" ht="13.5" thickBot="1" x14ac:dyDescent="0.25">
      <c r="B921" s="176" t="s">
        <v>98</v>
      </c>
      <c r="C921" s="177"/>
      <c r="D921" s="177"/>
      <c r="E921" s="178"/>
    </row>
    <row r="922" spans="2:5" ht="13.5" thickBot="1" x14ac:dyDescent="0.25">
      <c r="B922" s="176" t="s">
        <v>99</v>
      </c>
      <c r="C922" s="178"/>
      <c r="D922" s="50" t="s">
        <v>11</v>
      </c>
      <c r="E922" s="50" t="s">
        <v>100</v>
      </c>
    </row>
    <row r="923" spans="2:5" x14ac:dyDescent="0.2">
      <c r="B923" s="183" t="str">
        <f>'[1]COMEDORES EMERGENTES'!$B$3</f>
        <v>UNA SONRISA AV. LOS COBACHO</v>
      </c>
      <c r="C923" s="184"/>
      <c r="D923" s="94">
        <v>1</v>
      </c>
      <c r="E923" s="95" t="str">
        <f>'[1]COMEDORES EMERGENTES'!$G$3</f>
        <v>Bº SAN CARLOS OESTE AV. Bonifacio cobacho 670</v>
      </c>
    </row>
    <row r="924" spans="2:5" x14ac:dyDescent="0.2">
      <c r="B924" s="174" t="str">
        <f>'[1]COMEDORES EMERGENTES'!$B$4</f>
        <v>C.I.F Nº1 - RIVERA DEL VALLE Y FLORIDA</v>
      </c>
      <c r="C924" s="175"/>
      <c r="D924" s="89">
        <v>1</v>
      </c>
      <c r="E924" s="90" t="str">
        <f>'[1]COMEDORES EMERGENTES'!$G$4</f>
        <v>AV. RIVIERA DEL VALLE ENTRE FLORIDA Y SANTA FE</v>
      </c>
    </row>
    <row r="925" spans="2:5" x14ac:dyDescent="0.2">
      <c r="B925" s="174" t="str">
        <f>'[1]COMEDORES EMERGENTES'!$B$5</f>
        <v>C.I.F - RIVERA DEL VALLE - DILORENZO</v>
      </c>
      <c r="C925" s="175"/>
      <c r="D925" s="89">
        <v>1</v>
      </c>
      <c r="E925" s="90" t="str">
        <f>'[1]COMEDORES EMERGENTES'!$G$5</f>
        <v>Bº RIVERA DEL VALLE ENTRE VILLA EUMELIA Y MONTE CRISTO</v>
      </c>
    </row>
    <row r="926" spans="2:5" x14ac:dyDescent="0.2">
      <c r="B926" s="174" t="str">
        <f>'[1]COMEDORES EMERGENTES'!$B$6</f>
        <v>ESFUERZO PROPIO- Bº ALTOS DE CHOYA</v>
      </c>
      <c r="C926" s="175"/>
      <c r="D926" s="89">
        <v>1</v>
      </c>
      <c r="E926" s="90" t="str">
        <f>'[1]COMEDORES EMERGENTES'!$G$6</f>
        <v>Bº MUNICIPAL 35VV. NORTE C/14</v>
      </c>
    </row>
    <row r="927" spans="2:5" x14ac:dyDescent="0.2">
      <c r="B927" s="174" t="str">
        <f>'[1]COMEDORES EMERGENTES'!$B$7</f>
        <v>ANGELITOS - LOTEO SUSSEX</v>
      </c>
      <c r="C927" s="175"/>
      <c r="D927" s="89">
        <v>1</v>
      </c>
      <c r="E927" s="90" t="str">
        <f>'[1]COMEDORES EMERGENTES'!$G$7</f>
        <v>Bº LOTEO SUSEX MZA.Nº 4 LOTE Nº3</v>
      </c>
    </row>
    <row r="928" spans="2:5" x14ac:dyDescent="0.2">
      <c r="B928" s="174" t="str">
        <f>'[1]COMEDORES EMERGENTES'!$B$8</f>
        <v>CLUB DEPORTIVO CHACARITA</v>
      </c>
      <c r="C928" s="175"/>
      <c r="D928" s="89">
        <v>1</v>
      </c>
      <c r="E928" s="90" t="str">
        <f>'[1]COMEDORES EMERGENTES'!$G$8</f>
        <v>CALLE DR.DERMIDIO GALINDEZ C/2660</v>
      </c>
    </row>
    <row r="929" spans="2:5" x14ac:dyDescent="0.2">
      <c r="B929" s="174" t="str">
        <f>'[1]COMEDORES EMERGENTES'!$B$9</f>
        <v>LA MORO</v>
      </c>
      <c r="C929" s="175"/>
      <c r="D929" s="89">
        <v>1</v>
      </c>
      <c r="E929" s="90" t="str">
        <f>'[1]COMEDORES EMERGENTES'!$G$9</f>
        <v>MAIPU NORTE 1º ETAPA MZA "H" Bº MI JARDIN</v>
      </c>
    </row>
    <row r="930" spans="2:5" x14ac:dyDescent="0.2">
      <c r="B930" s="174" t="str">
        <f>'[1]COMEDORES EMERGENTES'!$B$10</f>
        <v>PAPA FRANCISCO</v>
      </c>
      <c r="C930" s="175"/>
      <c r="D930" s="89">
        <v>1</v>
      </c>
      <c r="E930" s="90" t="str">
        <f>'[1]COMEDORES EMERGENTES'!$G$10</f>
        <v>ENTRE AV.TEREBINTO Y AV.SAN JUAN LOTE "2" MZA. "B"</v>
      </c>
    </row>
    <row r="931" spans="2:5" x14ac:dyDescent="0.2">
      <c r="B931" s="174" t="str">
        <f>'[1]COMEDORES EMERGENTES'!$B$11</f>
        <v>E.P.C - 100 V.V NORTE</v>
      </c>
      <c r="C931" s="175"/>
      <c r="D931" s="89">
        <v>2</v>
      </c>
      <c r="E931" s="90" t="str">
        <f>'[1]COMEDORES EMERGENTES'!$G$11</f>
        <v>Bº VV NORTE C/48 ENTRE ESPAÑA Y FRANCIA</v>
      </c>
    </row>
    <row r="932" spans="2:5" x14ac:dyDescent="0.2">
      <c r="B932" s="174" t="str">
        <f>'[1]COMEDORES EMERGENTES'!$B$12</f>
        <v>HOGAR DE CRISTO - PADRE RAUL CONTRERAS</v>
      </c>
      <c r="C932" s="175"/>
      <c r="D932" s="89">
        <v>2</v>
      </c>
      <c r="E932" s="90" t="str">
        <f>'[1]COMEDORES EMERGENTES'!$G$12</f>
        <v>Bº SANTA MARTA MZA. "S" LOTE "M" C/39</v>
      </c>
    </row>
    <row r="933" spans="2:5" x14ac:dyDescent="0.2">
      <c r="B933" s="174" t="str">
        <f>'[1]COMEDORES EMERGENTES'!$B$13</f>
        <v>LA LUCIERNAGA</v>
      </c>
      <c r="C933" s="175"/>
      <c r="D933" s="89">
        <v>1</v>
      </c>
      <c r="E933" s="90" t="str">
        <f>'[1]COMEDORES EMERGENTES'!$G$13</f>
        <v>Bº 20 V.V NORTE C/3</v>
      </c>
    </row>
    <row r="934" spans="2:5" x14ac:dyDescent="0.2">
      <c r="B934" s="174" t="str">
        <f>'[1]COMEDORES EMERGENTES'!$B$14</f>
        <v>VALLE VIEJO - SUMALAO</v>
      </c>
      <c r="C934" s="175"/>
      <c r="D934" s="89">
        <v>2</v>
      </c>
      <c r="E934" s="90" t="str">
        <f>'[1]COMEDORES EMERGENTES'!$G$14</f>
        <v>PADRE SEGURA S/N</v>
      </c>
    </row>
    <row r="935" spans="2:5" x14ac:dyDescent="0.2">
      <c r="B935" s="174" t="str">
        <f>'[1]COMEDORES EMERGENTES'!$B$15</f>
        <v>NUESTRO FUTURO - LAS VIAS</v>
      </c>
      <c r="C935" s="175"/>
      <c r="D935" s="89">
        <v>1</v>
      </c>
      <c r="E935" s="90" t="str">
        <f>'[1]COMEDORES EMERGENTES'!$G$15</f>
        <v>Bº LAS VIAS OESTE LOTE 42</v>
      </c>
    </row>
    <row r="936" spans="2:5" x14ac:dyDescent="0.2">
      <c r="B936" s="174" t="str">
        <f>'[1]COMEDORES EMERGENTES'!$B$16</f>
        <v>SAN JOSE OBRERO</v>
      </c>
      <c r="C936" s="175"/>
      <c r="D936" s="89">
        <v>1</v>
      </c>
      <c r="E936" s="90" t="str">
        <f>'[1]COMEDORES EMERGENTES'!$G$16</f>
        <v>Bº SAN JOSE OBRERO. PJE. SANDOVAL S/Nº</v>
      </c>
    </row>
    <row r="937" spans="2:5" x14ac:dyDescent="0.2">
      <c r="B937" s="174" t="str">
        <f>'[1]COMEDORES EMERGENTES'!$B$17</f>
        <v>VIRGEN DE LUJAN</v>
      </c>
      <c r="C937" s="175"/>
      <c r="D937" s="89">
        <v>1</v>
      </c>
      <c r="E937" s="90" t="str">
        <f>'[1]COMEDORES EMERGENTES'!$G$17</f>
        <v>Bº OJO DE AGUA C/DR.TEODULFO BARRIONUEVO S/Nº</v>
      </c>
    </row>
    <row r="938" spans="2:5" x14ac:dyDescent="0.2">
      <c r="B938" s="174" t="str">
        <f>'[1]COMEDORES EMERGENTES'!$B$18</f>
        <v>RENACER</v>
      </c>
      <c r="C938" s="175"/>
      <c r="D938" s="89">
        <v>1</v>
      </c>
      <c r="E938" s="90" t="str">
        <f>'[1]COMEDORES EMERGENTES'!$G$18</f>
        <v>Bº VIRGEN MORENITA</v>
      </c>
    </row>
    <row r="939" spans="2:5" x14ac:dyDescent="0.2">
      <c r="B939" s="174" t="str">
        <f>'[1]COMEDORES EMERGENTES'!$B$19</f>
        <v>CENTRO VECINAL MI JARDIN</v>
      </c>
      <c r="C939" s="175"/>
      <c r="D939" s="89">
        <v>1</v>
      </c>
      <c r="E939" s="90" t="str">
        <f>'[1]COMEDORES EMERGENTES'!$G$19</f>
        <v>C/ LOS TULIPANES ENTRE FLOR DE CEREZO Y HOLANDA MZA.27 Bº MI JARDIN</v>
      </c>
    </row>
    <row r="940" spans="2:5" x14ac:dyDescent="0.2">
      <c r="B940" s="174" t="str">
        <f>'[1]COMEDORES EMERGENTES'!$B$20</f>
        <v>LA VIEJA ESQUINA</v>
      </c>
      <c r="C940" s="175"/>
      <c r="D940" s="89">
        <v>1</v>
      </c>
      <c r="E940" s="90" t="str">
        <f>'[1]COMEDORES EMERGENTES'!$G$20</f>
        <v>B° CRISTO REY PJE CAPATAZ VILLAFAÑEZ Y ARMANDO CORREA</v>
      </c>
    </row>
    <row r="941" spans="2:5" x14ac:dyDescent="0.2">
      <c r="B941" s="174" t="str">
        <f>'[1]COMEDORES EMERGENTES'!$B$21</f>
        <v>GAUCHITO GIL</v>
      </c>
      <c r="C941" s="175"/>
      <c r="D941" s="89">
        <v>1</v>
      </c>
      <c r="E941" s="90" t="str">
        <f>'[1]COMEDORES EMERGENTES'!$G$21</f>
        <v>B° 26 VIVIENDAS CASA N° 3</v>
      </c>
    </row>
    <row r="942" spans="2:5" ht="13.5" thickBot="1" x14ac:dyDescent="0.25">
      <c r="B942" s="191" t="str">
        <f>'[1]COMEDORES EMERGENTES'!$B$22</f>
        <v>LOS TOLDOS</v>
      </c>
      <c r="C942" s="192"/>
      <c r="D942" s="96">
        <v>1</v>
      </c>
      <c r="E942" s="97" t="str">
        <f>'[1]COMEDORES EMERGENTES'!$G$22</f>
        <v>LOTEO PARQUE SUR CALLE S/NOMBRE S/N°</v>
      </c>
    </row>
    <row r="943" spans="2:5" x14ac:dyDescent="0.2">
      <c r="B943" s="14" t="s">
        <v>18</v>
      </c>
      <c r="C943" s="12"/>
      <c r="D943" s="53"/>
      <c r="E943" s="13"/>
    </row>
    <row r="944" spans="2:5" x14ac:dyDescent="0.2">
      <c r="B944" s="15"/>
      <c r="C944" s="190" t="s">
        <v>24</v>
      </c>
      <c r="D944" s="190"/>
      <c r="E944" s="190"/>
    </row>
    <row r="945" spans="2:5" x14ac:dyDescent="0.2">
      <c r="B945" s="14" t="s">
        <v>19</v>
      </c>
      <c r="C945" s="16"/>
      <c r="D945" s="16"/>
      <c r="E945" s="17"/>
    </row>
    <row r="946" spans="2:5" x14ac:dyDescent="0.2">
      <c r="B946" s="15"/>
      <c r="C946" s="190" t="s">
        <v>101</v>
      </c>
      <c r="D946" s="190"/>
      <c r="E946" s="190"/>
    </row>
    <row r="947" spans="2:5" x14ac:dyDescent="0.2">
      <c r="B947" s="14" t="s">
        <v>20</v>
      </c>
      <c r="C947" s="12"/>
      <c r="D947" s="53"/>
      <c r="E947" s="13"/>
    </row>
    <row r="948" spans="2:5" x14ac:dyDescent="0.2">
      <c r="B948" s="14"/>
      <c r="C948" s="189" t="s">
        <v>25</v>
      </c>
      <c r="D948" s="189"/>
      <c r="E948" s="189"/>
    </row>
    <row r="949" spans="2:5" ht="13.5" thickBot="1" x14ac:dyDescent="0.25">
      <c r="B949" s="18"/>
      <c r="C949" s="19"/>
      <c r="D949" s="54"/>
      <c r="E949" s="20"/>
    </row>
    <row r="950" spans="2:5" ht="13.5" thickBot="1" x14ac:dyDescent="0.25"/>
    <row r="951" spans="2:5" x14ac:dyDescent="0.2">
      <c r="B951" s="8" t="s">
        <v>125</v>
      </c>
      <c r="C951" s="9"/>
      <c r="D951" s="52"/>
      <c r="E951" s="10"/>
    </row>
    <row r="952" spans="2:5" x14ac:dyDescent="0.2">
      <c r="B952" s="11"/>
      <c r="C952" s="12"/>
      <c r="D952" s="53"/>
      <c r="E952" s="13"/>
    </row>
    <row r="953" spans="2:5" x14ac:dyDescent="0.2">
      <c r="B953" s="14" t="s">
        <v>16</v>
      </c>
      <c r="C953" s="12"/>
      <c r="D953" s="53"/>
      <c r="E953" s="13"/>
    </row>
    <row r="954" spans="2:5" ht="25.5" customHeight="1" x14ac:dyDescent="0.2">
      <c r="B954" s="14"/>
      <c r="C954" s="190"/>
      <c r="D954" s="190"/>
      <c r="E954" s="190"/>
    </row>
    <row r="955" spans="2:5" ht="13.5" thickBot="1" x14ac:dyDescent="0.25">
      <c r="B955" s="14" t="s">
        <v>17</v>
      </c>
      <c r="C955" s="12"/>
      <c r="D955" s="53"/>
      <c r="E955" s="13"/>
    </row>
    <row r="956" spans="2:5" ht="13.5" thickBot="1" x14ac:dyDescent="0.25">
      <c r="B956" s="176" t="s">
        <v>203</v>
      </c>
      <c r="C956" s="177"/>
      <c r="D956" s="177"/>
      <c r="E956" s="178"/>
    </row>
    <row r="957" spans="2:5" ht="13.5" thickBot="1" x14ac:dyDescent="0.25">
      <c r="B957" s="176" t="s">
        <v>99</v>
      </c>
      <c r="C957" s="178"/>
      <c r="D957" s="50" t="s">
        <v>11</v>
      </c>
      <c r="E957" s="50" t="s">
        <v>100</v>
      </c>
    </row>
    <row r="958" spans="2:5" x14ac:dyDescent="0.2">
      <c r="B958" s="183" t="str">
        <f>'[1]COMEDORES EMERGENTES'!$B$3</f>
        <v>UNA SONRISA AV. LOS COBACHO</v>
      </c>
      <c r="C958" s="184"/>
      <c r="D958" s="94">
        <v>160</v>
      </c>
      <c r="E958" s="95" t="str">
        <f>'[1]COMEDORES EMERGENTES'!$G$3</f>
        <v>Bº SAN CARLOS OESTE AV. Bonifacio cobacho 670</v>
      </c>
    </row>
    <row r="959" spans="2:5" x14ac:dyDescent="0.2">
      <c r="B959" s="174" t="str">
        <f>'[1]COMEDORES EMERGENTES'!$B$4</f>
        <v>C.I.F Nº1 - RIVERA DEL VALLE Y FLORIDA</v>
      </c>
      <c r="C959" s="175"/>
      <c r="D959" s="89">
        <v>230</v>
      </c>
      <c r="E959" s="90" t="str">
        <f>'[1]COMEDORES EMERGENTES'!$G$4</f>
        <v>AV. RIVIERA DEL VALLE ENTRE FLORIDA Y SANTA FE</v>
      </c>
    </row>
    <row r="960" spans="2:5" x14ac:dyDescent="0.2">
      <c r="B960" s="174" t="str">
        <f>'[1]COMEDORES EMERGENTES'!$B$5</f>
        <v>C.I.F - RIVERA DEL VALLE - DILORENZO</v>
      </c>
      <c r="C960" s="175"/>
      <c r="D960" s="89">
        <v>270</v>
      </c>
      <c r="E960" s="90" t="str">
        <f>'[1]COMEDORES EMERGENTES'!$G$5</f>
        <v>Bº RIVERA DEL VALLE ENTRE VILLA EUMELIA Y MONTE CRISTO</v>
      </c>
    </row>
    <row r="961" spans="2:5" x14ac:dyDescent="0.2">
      <c r="B961" s="174" t="str">
        <f>'[1]COMEDORES EMERGENTES'!$B$6</f>
        <v>ESFUERZO PROPIO- Bº ALTOS DE CHOYA</v>
      </c>
      <c r="C961" s="175"/>
      <c r="D961" s="89">
        <v>220</v>
      </c>
      <c r="E961" s="90" t="str">
        <f>'[1]COMEDORES EMERGENTES'!$G$6</f>
        <v>Bº MUNICIPAL 35VV. NORTE C/14</v>
      </c>
    </row>
    <row r="962" spans="2:5" x14ac:dyDescent="0.2">
      <c r="B962" s="174" t="str">
        <f>'[1]COMEDORES EMERGENTES'!$B$7</f>
        <v>ANGELITOS - LOTEO SUSSEX</v>
      </c>
      <c r="C962" s="175"/>
      <c r="D962" s="89">
        <v>100</v>
      </c>
      <c r="E962" s="90" t="str">
        <f>'[1]COMEDORES EMERGENTES'!$G$7</f>
        <v>Bº LOTEO SUSEX MZA.Nº 4 LOTE Nº3</v>
      </c>
    </row>
    <row r="963" spans="2:5" x14ac:dyDescent="0.2">
      <c r="B963" s="174" t="str">
        <f>'[1]COMEDORES EMERGENTES'!$B$8</f>
        <v>CLUB DEPORTIVO CHACARITA</v>
      </c>
      <c r="C963" s="175"/>
      <c r="D963" s="89">
        <v>130</v>
      </c>
      <c r="E963" s="90" t="str">
        <f>'[1]COMEDORES EMERGENTES'!$G$8</f>
        <v>CALLE DR.DERMIDIO GALINDEZ C/2660</v>
      </c>
    </row>
    <row r="964" spans="2:5" x14ac:dyDescent="0.2">
      <c r="B964" s="174" t="str">
        <f>'[1]COMEDORES EMERGENTES'!$B$9</f>
        <v>LA MORO</v>
      </c>
      <c r="C964" s="175"/>
      <c r="D964" s="89">
        <v>120</v>
      </c>
      <c r="E964" s="90" t="str">
        <f>'[1]COMEDORES EMERGENTES'!$G$9</f>
        <v>MAIPU NORTE 1º ETAPA MZA "H" Bº MI JARDIN</v>
      </c>
    </row>
    <row r="965" spans="2:5" x14ac:dyDescent="0.2">
      <c r="B965" s="174" t="str">
        <f>'[1]COMEDORES EMERGENTES'!$B$10</f>
        <v>PAPA FRANCISCO</v>
      </c>
      <c r="C965" s="175"/>
      <c r="D965" s="89">
        <v>200</v>
      </c>
      <c r="E965" s="90" t="str">
        <f>'[1]COMEDORES EMERGENTES'!$G$10</f>
        <v>ENTRE AV.TEREBINTO Y AV.SAN JUAN LOTE "2" MZA. "B"</v>
      </c>
    </row>
    <row r="966" spans="2:5" x14ac:dyDescent="0.2">
      <c r="B966" s="174" t="str">
        <f>'[1]COMEDORES EMERGENTES'!$B$11</f>
        <v>E.P.C - 100 V.V NORTE</v>
      </c>
      <c r="C966" s="175"/>
      <c r="D966" s="89">
        <v>300</v>
      </c>
      <c r="E966" s="90" t="str">
        <f>'[1]COMEDORES EMERGENTES'!$G$11</f>
        <v>Bº VV NORTE C/48 ENTRE ESPAÑA Y FRANCIA</v>
      </c>
    </row>
    <row r="967" spans="2:5" x14ac:dyDescent="0.2">
      <c r="B967" s="174" t="str">
        <f>'[1]COMEDORES EMERGENTES'!$B$12</f>
        <v>HOGAR DE CRISTO - PADRE RAUL CONTRERAS</v>
      </c>
      <c r="C967" s="175"/>
      <c r="D967" s="89">
        <v>300</v>
      </c>
      <c r="E967" s="90" t="str">
        <f>'[1]COMEDORES EMERGENTES'!$G$12</f>
        <v>Bº SANTA MARTA MZA. "S" LOTE "M" C/39</v>
      </c>
    </row>
    <row r="968" spans="2:5" x14ac:dyDescent="0.2">
      <c r="B968" s="174" t="str">
        <f>'[1]COMEDORES EMERGENTES'!$B$13</f>
        <v>LA LUCIERNAGA</v>
      </c>
      <c r="C968" s="175"/>
      <c r="D968" s="89">
        <v>200</v>
      </c>
      <c r="E968" s="90" t="str">
        <f>'[1]COMEDORES EMERGENTES'!$G$13</f>
        <v>Bº 20 V.V NORTE C/3</v>
      </c>
    </row>
    <row r="969" spans="2:5" x14ac:dyDescent="0.2">
      <c r="B969" s="174" t="str">
        <f>'[1]COMEDORES EMERGENTES'!$B$14</f>
        <v>VALLE VIEJO - SUMALAO</v>
      </c>
      <c r="C969" s="175"/>
      <c r="D969" s="89">
        <v>350</v>
      </c>
      <c r="E969" s="90" t="str">
        <f>'[1]COMEDORES EMERGENTES'!$G$14</f>
        <v>PADRE SEGURA S/N</v>
      </c>
    </row>
    <row r="970" spans="2:5" x14ac:dyDescent="0.2">
      <c r="B970" s="174" t="str">
        <f>'[1]COMEDORES EMERGENTES'!$B$15</f>
        <v>NUESTRO FUTURO - LAS VIAS</v>
      </c>
      <c r="C970" s="175"/>
      <c r="D970" s="89">
        <v>200</v>
      </c>
      <c r="E970" s="90" t="str">
        <f>'[1]COMEDORES EMERGENTES'!$G$15</f>
        <v>Bº LAS VIAS OESTE LOTE 42</v>
      </c>
    </row>
    <row r="971" spans="2:5" x14ac:dyDescent="0.2">
      <c r="B971" s="174" t="str">
        <f>'[1]COMEDORES EMERGENTES'!$B$16</f>
        <v>SAN JOSE OBRERO</v>
      </c>
      <c r="C971" s="175"/>
      <c r="D971" s="89">
        <v>130</v>
      </c>
      <c r="E971" s="90" t="str">
        <f>'[1]COMEDORES EMERGENTES'!$G$16</f>
        <v>Bº SAN JOSE OBRERO. PJE. SANDOVAL S/Nº</v>
      </c>
    </row>
    <row r="972" spans="2:5" x14ac:dyDescent="0.2">
      <c r="B972" s="174" t="str">
        <f>'[1]COMEDORES EMERGENTES'!$B$17</f>
        <v>VIRGEN DE LUJAN</v>
      </c>
      <c r="C972" s="175"/>
      <c r="D972" s="89">
        <v>200</v>
      </c>
      <c r="E972" s="90" t="str">
        <f>'[1]COMEDORES EMERGENTES'!$G$17</f>
        <v>Bº OJO DE AGUA C/DR.TEODULFO BARRIONUEVO S/Nº</v>
      </c>
    </row>
    <row r="973" spans="2:5" x14ac:dyDescent="0.2">
      <c r="B973" s="174" t="str">
        <f>'[1]COMEDORES EMERGENTES'!$B$18</f>
        <v>RENACER</v>
      </c>
      <c r="C973" s="175"/>
      <c r="D973" s="89">
        <v>250</v>
      </c>
      <c r="E973" s="90" t="str">
        <f>'[1]COMEDORES EMERGENTES'!$G$18</f>
        <v>Bº VIRGEN MORENITA</v>
      </c>
    </row>
    <row r="974" spans="2:5" x14ac:dyDescent="0.2">
      <c r="B974" s="174" t="str">
        <f>'[1]COMEDORES EMERGENTES'!$B$19</f>
        <v>CENTRO VECINAL MI JARDIN</v>
      </c>
      <c r="C974" s="175"/>
      <c r="D974" s="89">
        <v>180</v>
      </c>
      <c r="E974" s="90" t="str">
        <f>'[1]COMEDORES EMERGENTES'!$G$19</f>
        <v>C/ LOS TULIPANES ENTRE FLOR DE CEREZO Y HOLANDA MZA.27 Bº MI JARDIN</v>
      </c>
    </row>
    <row r="975" spans="2:5" x14ac:dyDescent="0.2">
      <c r="B975" s="174" t="str">
        <f>'[1]COMEDORES EMERGENTES'!$B$20</f>
        <v>LA VIEJA ESQUINA</v>
      </c>
      <c r="C975" s="175"/>
      <c r="D975" s="89">
        <v>172</v>
      </c>
      <c r="E975" s="90" t="str">
        <f>'[1]COMEDORES EMERGENTES'!$G$20</f>
        <v>B° CRISTO REY PJE CAPATAZ VILLAFAÑEZ Y ARMANDO CORREA</v>
      </c>
    </row>
    <row r="976" spans="2:5" x14ac:dyDescent="0.2">
      <c r="B976" s="174" t="str">
        <f>'[1]COMEDORES EMERGENTES'!$B$21</f>
        <v>GAUCHITO GIL</v>
      </c>
      <c r="C976" s="175"/>
      <c r="D976" s="89">
        <v>168</v>
      </c>
      <c r="E976" s="90" t="str">
        <f>'[1]COMEDORES EMERGENTES'!$G$21</f>
        <v>B° 26 VIVIENDAS CASA N° 3</v>
      </c>
    </row>
    <row r="977" spans="2:5" ht="13.5" thickBot="1" x14ac:dyDescent="0.25">
      <c r="B977" s="191" t="str">
        <f>'[1]COMEDORES EMERGENTES'!$B$22</f>
        <v>LOS TOLDOS</v>
      </c>
      <c r="C977" s="192"/>
      <c r="D977" s="96">
        <v>80</v>
      </c>
      <c r="E977" s="97" t="str">
        <f>'[1]COMEDORES EMERGENTES'!$G$22</f>
        <v>LOTEO PARQUE SUR CALLE S/NOMBRE S/N°</v>
      </c>
    </row>
    <row r="978" spans="2:5" x14ac:dyDescent="0.2">
      <c r="B978" s="14" t="s">
        <v>18</v>
      </c>
      <c r="C978" s="12"/>
      <c r="D978" s="53"/>
      <c r="E978" s="13"/>
    </row>
    <row r="979" spans="2:5" x14ac:dyDescent="0.2">
      <c r="B979" s="15"/>
      <c r="C979" s="190" t="s">
        <v>24</v>
      </c>
      <c r="D979" s="190"/>
      <c r="E979" s="190"/>
    </row>
    <row r="980" spans="2:5" x14ac:dyDescent="0.2">
      <c r="B980" s="14" t="s">
        <v>19</v>
      </c>
      <c r="C980" s="16"/>
      <c r="D980" s="16"/>
      <c r="E980" s="17"/>
    </row>
    <row r="981" spans="2:5" x14ac:dyDescent="0.2">
      <c r="B981" s="15"/>
      <c r="C981" s="190" t="s">
        <v>101</v>
      </c>
      <c r="D981" s="190"/>
      <c r="E981" s="190"/>
    </row>
    <row r="982" spans="2:5" x14ac:dyDescent="0.2">
      <c r="B982" s="14" t="s">
        <v>20</v>
      </c>
      <c r="C982" s="12"/>
      <c r="D982" s="53"/>
      <c r="E982" s="13"/>
    </row>
    <row r="983" spans="2:5" x14ac:dyDescent="0.2">
      <c r="B983" s="14"/>
      <c r="C983" s="189" t="s">
        <v>25</v>
      </c>
      <c r="D983" s="189"/>
      <c r="E983" s="189"/>
    </row>
    <row r="984" spans="2:5" ht="13.5" thickBot="1" x14ac:dyDescent="0.25">
      <c r="B984" s="18"/>
      <c r="C984" s="19"/>
      <c r="D984" s="54"/>
      <c r="E984" s="20"/>
    </row>
    <row r="985" spans="2:5" ht="13.5" thickBot="1" x14ac:dyDescent="0.25"/>
    <row r="986" spans="2:5" x14ac:dyDescent="0.2">
      <c r="B986" s="8" t="s">
        <v>126</v>
      </c>
      <c r="C986" s="9"/>
      <c r="D986" s="52"/>
      <c r="E986" s="10"/>
    </row>
    <row r="987" spans="2:5" x14ac:dyDescent="0.2">
      <c r="B987" s="11"/>
      <c r="C987" s="12"/>
      <c r="D987" s="53"/>
      <c r="E987" s="13"/>
    </row>
    <row r="988" spans="2:5" x14ac:dyDescent="0.2">
      <c r="B988" s="14" t="s">
        <v>16</v>
      </c>
      <c r="C988" s="12"/>
      <c r="D988" s="53"/>
      <c r="E988" s="13"/>
    </row>
    <row r="989" spans="2:5" ht="30" customHeight="1" x14ac:dyDescent="0.2">
      <c r="B989" s="14"/>
      <c r="C989" s="190"/>
      <c r="D989" s="190"/>
      <c r="E989" s="190"/>
    </row>
    <row r="990" spans="2:5" ht="13.5" thickBot="1" x14ac:dyDescent="0.25">
      <c r="B990" s="14" t="s">
        <v>17</v>
      </c>
      <c r="C990" s="12"/>
      <c r="D990" s="53"/>
      <c r="E990" s="13"/>
    </row>
    <row r="991" spans="2:5" ht="13.5" thickBot="1" x14ac:dyDescent="0.25">
      <c r="B991" s="176" t="s">
        <v>204</v>
      </c>
      <c r="C991" s="177"/>
      <c r="D991" s="177"/>
      <c r="E991" s="178"/>
    </row>
    <row r="992" spans="2:5" ht="13.5" thickBot="1" x14ac:dyDescent="0.25">
      <c r="B992" s="176" t="s">
        <v>99</v>
      </c>
      <c r="C992" s="178"/>
      <c r="D992" s="50" t="s">
        <v>11</v>
      </c>
      <c r="E992" s="50" t="s">
        <v>100</v>
      </c>
    </row>
    <row r="993" spans="2:5" x14ac:dyDescent="0.2">
      <c r="B993" s="183" t="str">
        <f>'[1]COMEDORES EMERGENTES'!$B$3</f>
        <v>UNA SONRISA AV. LOS COBACHO</v>
      </c>
      <c r="C993" s="184"/>
      <c r="D993" s="94">
        <v>160</v>
      </c>
      <c r="E993" s="95" t="str">
        <f>'[1]COMEDORES EMERGENTES'!$G$3</f>
        <v>Bº SAN CARLOS OESTE AV. Bonifacio cobacho 670</v>
      </c>
    </row>
    <row r="994" spans="2:5" x14ac:dyDescent="0.2">
      <c r="B994" s="174" t="str">
        <f>'[1]COMEDORES EMERGENTES'!$B$4</f>
        <v>C.I.F Nº1 - RIVERA DEL VALLE Y FLORIDA</v>
      </c>
      <c r="C994" s="175"/>
      <c r="D994" s="89">
        <v>230</v>
      </c>
      <c r="E994" s="90" t="str">
        <f>'[1]COMEDORES EMERGENTES'!$G$4</f>
        <v>AV. RIVIERA DEL VALLE ENTRE FLORIDA Y SANTA FE</v>
      </c>
    </row>
    <row r="995" spans="2:5" x14ac:dyDescent="0.2">
      <c r="B995" s="174" t="str">
        <f>'[1]COMEDORES EMERGENTES'!$B$5</f>
        <v>C.I.F - RIVERA DEL VALLE - DILORENZO</v>
      </c>
      <c r="C995" s="175"/>
      <c r="D995" s="89">
        <v>270</v>
      </c>
      <c r="E995" s="90" t="str">
        <f>'[1]COMEDORES EMERGENTES'!$G$5</f>
        <v>Bº RIVERA DEL VALLE ENTRE VILLA EUMELIA Y MONTE CRISTO</v>
      </c>
    </row>
    <row r="996" spans="2:5" x14ac:dyDescent="0.2">
      <c r="B996" s="174" t="str">
        <f>'[1]COMEDORES EMERGENTES'!$B$6</f>
        <v>ESFUERZO PROPIO- Bº ALTOS DE CHOYA</v>
      </c>
      <c r="C996" s="175"/>
      <c r="D996" s="89">
        <v>220</v>
      </c>
      <c r="E996" s="90" t="str">
        <f>'[1]COMEDORES EMERGENTES'!$G$6</f>
        <v>Bº MUNICIPAL 35VV. NORTE C/14</v>
      </c>
    </row>
    <row r="997" spans="2:5" x14ac:dyDescent="0.2">
      <c r="B997" s="174" t="str">
        <f>'[1]COMEDORES EMERGENTES'!$B$7</f>
        <v>ANGELITOS - LOTEO SUSSEX</v>
      </c>
      <c r="C997" s="175"/>
      <c r="D997" s="89">
        <v>100</v>
      </c>
      <c r="E997" s="90" t="str">
        <f>'[1]COMEDORES EMERGENTES'!$G$7</f>
        <v>Bº LOTEO SUSEX MZA.Nº 4 LOTE Nº3</v>
      </c>
    </row>
    <row r="998" spans="2:5" x14ac:dyDescent="0.2">
      <c r="B998" s="174" t="str">
        <f>'[1]COMEDORES EMERGENTES'!$B$8</f>
        <v>CLUB DEPORTIVO CHACARITA</v>
      </c>
      <c r="C998" s="175"/>
      <c r="D998" s="89">
        <v>130</v>
      </c>
      <c r="E998" s="90" t="str">
        <f>'[1]COMEDORES EMERGENTES'!$G$8</f>
        <v>CALLE DR.DERMIDIO GALINDEZ C/2660</v>
      </c>
    </row>
    <row r="999" spans="2:5" x14ac:dyDescent="0.2">
      <c r="B999" s="174" t="str">
        <f>'[1]COMEDORES EMERGENTES'!$B$9</f>
        <v>LA MORO</v>
      </c>
      <c r="C999" s="175"/>
      <c r="D999" s="89">
        <v>120</v>
      </c>
      <c r="E999" s="90" t="str">
        <f>'[1]COMEDORES EMERGENTES'!$G$9</f>
        <v>MAIPU NORTE 1º ETAPA MZA "H" Bº MI JARDIN</v>
      </c>
    </row>
    <row r="1000" spans="2:5" x14ac:dyDescent="0.2">
      <c r="B1000" s="174" t="str">
        <f>'[1]COMEDORES EMERGENTES'!$B$10</f>
        <v>PAPA FRANCISCO</v>
      </c>
      <c r="C1000" s="175"/>
      <c r="D1000" s="89">
        <v>200</v>
      </c>
      <c r="E1000" s="90" t="str">
        <f>'[1]COMEDORES EMERGENTES'!$G$10</f>
        <v>ENTRE AV.TEREBINTO Y AV.SAN JUAN LOTE "2" MZA. "B"</v>
      </c>
    </row>
    <row r="1001" spans="2:5" x14ac:dyDescent="0.2">
      <c r="B1001" s="174" t="str">
        <f>'[1]COMEDORES EMERGENTES'!$B$11</f>
        <v>E.P.C - 100 V.V NORTE</v>
      </c>
      <c r="C1001" s="175"/>
      <c r="D1001" s="89">
        <v>300</v>
      </c>
      <c r="E1001" s="90" t="str">
        <f>'[1]COMEDORES EMERGENTES'!$G$11</f>
        <v>Bº VV NORTE C/48 ENTRE ESPAÑA Y FRANCIA</v>
      </c>
    </row>
    <row r="1002" spans="2:5" x14ac:dyDescent="0.2">
      <c r="B1002" s="174" t="str">
        <f>'[1]COMEDORES EMERGENTES'!$B$12</f>
        <v>HOGAR DE CRISTO - PADRE RAUL CONTRERAS</v>
      </c>
      <c r="C1002" s="175"/>
      <c r="D1002" s="89">
        <v>300</v>
      </c>
      <c r="E1002" s="90" t="str">
        <f>'[1]COMEDORES EMERGENTES'!$G$12</f>
        <v>Bº SANTA MARTA MZA. "S" LOTE "M" C/39</v>
      </c>
    </row>
    <row r="1003" spans="2:5" x14ac:dyDescent="0.2">
      <c r="B1003" s="174" t="str">
        <f>'[1]COMEDORES EMERGENTES'!$B$13</f>
        <v>LA LUCIERNAGA</v>
      </c>
      <c r="C1003" s="175"/>
      <c r="D1003" s="89">
        <v>200</v>
      </c>
      <c r="E1003" s="90" t="str">
        <f>'[1]COMEDORES EMERGENTES'!$G$13</f>
        <v>Bº 20 V.V NORTE C/3</v>
      </c>
    </row>
    <row r="1004" spans="2:5" x14ac:dyDescent="0.2">
      <c r="B1004" s="174" t="str">
        <f>'[1]COMEDORES EMERGENTES'!$B$14</f>
        <v>VALLE VIEJO - SUMALAO</v>
      </c>
      <c r="C1004" s="175"/>
      <c r="D1004" s="89">
        <v>350</v>
      </c>
      <c r="E1004" s="90" t="str">
        <f>'[1]COMEDORES EMERGENTES'!$G$14</f>
        <v>PADRE SEGURA S/N</v>
      </c>
    </row>
    <row r="1005" spans="2:5" x14ac:dyDescent="0.2">
      <c r="B1005" s="174" t="str">
        <f>'[1]COMEDORES EMERGENTES'!$B$15</f>
        <v>NUESTRO FUTURO - LAS VIAS</v>
      </c>
      <c r="C1005" s="175"/>
      <c r="D1005" s="89">
        <v>200</v>
      </c>
      <c r="E1005" s="90" t="str">
        <f>'[1]COMEDORES EMERGENTES'!$G$15</f>
        <v>Bº LAS VIAS OESTE LOTE 42</v>
      </c>
    </row>
    <row r="1006" spans="2:5" x14ac:dyDescent="0.2">
      <c r="B1006" s="174" t="str">
        <f>'[1]COMEDORES EMERGENTES'!$B$16</f>
        <v>SAN JOSE OBRERO</v>
      </c>
      <c r="C1006" s="175"/>
      <c r="D1006" s="89">
        <v>130</v>
      </c>
      <c r="E1006" s="90" t="str">
        <f>'[1]COMEDORES EMERGENTES'!$G$16</f>
        <v>Bº SAN JOSE OBRERO. PJE. SANDOVAL S/Nº</v>
      </c>
    </row>
    <row r="1007" spans="2:5" x14ac:dyDescent="0.2">
      <c r="B1007" s="174" t="str">
        <f>'[1]COMEDORES EMERGENTES'!$B$17</f>
        <v>VIRGEN DE LUJAN</v>
      </c>
      <c r="C1007" s="175"/>
      <c r="D1007" s="89">
        <v>200</v>
      </c>
      <c r="E1007" s="90" t="str">
        <f>'[1]COMEDORES EMERGENTES'!$G$17</f>
        <v>Bº OJO DE AGUA C/DR.TEODULFO BARRIONUEVO S/Nº</v>
      </c>
    </row>
    <row r="1008" spans="2:5" x14ac:dyDescent="0.2">
      <c r="B1008" s="174" t="str">
        <f>'[1]COMEDORES EMERGENTES'!$B$18</f>
        <v>RENACER</v>
      </c>
      <c r="C1008" s="175"/>
      <c r="D1008" s="89">
        <v>250</v>
      </c>
      <c r="E1008" s="90" t="str">
        <f>'[1]COMEDORES EMERGENTES'!$G$18</f>
        <v>Bº VIRGEN MORENITA</v>
      </c>
    </row>
    <row r="1009" spans="2:5" x14ac:dyDescent="0.2">
      <c r="B1009" s="174" t="str">
        <f>'[1]COMEDORES EMERGENTES'!$B$19</f>
        <v>CENTRO VECINAL MI JARDIN</v>
      </c>
      <c r="C1009" s="175"/>
      <c r="D1009" s="89">
        <v>180</v>
      </c>
      <c r="E1009" s="90" t="str">
        <f>'[1]COMEDORES EMERGENTES'!$G$19</f>
        <v>C/ LOS TULIPANES ENTRE FLOR DE CEREZO Y HOLANDA MZA.27 Bº MI JARDIN</v>
      </c>
    </row>
    <row r="1010" spans="2:5" x14ac:dyDescent="0.2">
      <c r="B1010" s="174" t="str">
        <f>'[1]COMEDORES EMERGENTES'!$B$20</f>
        <v>LA VIEJA ESQUINA</v>
      </c>
      <c r="C1010" s="175"/>
      <c r="D1010" s="89">
        <v>172</v>
      </c>
      <c r="E1010" s="90" t="str">
        <f>'[1]COMEDORES EMERGENTES'!$G$20</f>
        <v>B° CRISTO REY PJE CAPATAZ VILLAFAÑEZ Y ARMANDO CORREA</v>
      </c>
    </row>
    <row r="1011" spans="2:5" x14ac:dyDescent="0.2">
      <c r="B1011" s="174" t="str">
        <f>'[1]COMEDORES EMERGENTES'!$B$21</f>
        <v>GAUCHITO GIL</v>
      </c>
      <c r="C1011" s="175"/>
      <c r="D1011" s="89">
        <v>168</v>
      </c>
      <c r="E1011" s="90" t="str">
        <f>'[1]COMEDORES EMERGENTES'!$G$21</f>
        <v>B° 26 VIVIENDAS CASA N° 3</v>
      </c>
    </row>
    <row r="1012" spans="2:5" ht="13.5" thickBot="1" x14ac:dyDescent="0.25">
      <c r="B1012" s="191" t="str">
        <f>'[1]COMEDORES EMERGENTES'!$B$22</f>
        <v>LOS TOLDOS</v>
      </c>
      <c r="C1012" s="192"/>
      <c r="D1012" s="96">
        <v>80</v>
      </c>
      <c r="E1012" s="97" t="str">
        <f>'[1]COMEDORES EMERGENTES'!$G$22</f>
        <v>LOTEO PARQUE SUR CALLE S/NOMBRE S/N°</v>
      </c>
    </row>
    <row r="1013" spans="2:5" x14ac:dyDescent="0.2">
      <c r="B1013" s="14" t="s">
        <v>18</v>
      </c>
      <c r="C1013" s="12"/>
      <c r="D1013" s="53"/>
      <c r="E1013" s="13"/>
    </row>
    <row r="1014" spans="2:5" x14ac:dyDescent="0.2">
      <c r="B1014" s="15"/>
      <c r="C1014" s="190" t="s">
        <v>24</v>
      </c>
      <c r="D1014" s="190"/>
      <c r="E1014" s="190"/>
    </row>
    <row r="1015" spans="2:5" x14ac:dyDescent="0.2">
      <c r="B1015" s="14" t="s">
        <v>19</v>
      </c>
      <c r="C1015" s="16"/>
      <c r="D1015" s="16"/>
      <c r="E1015" s="17"/>
    </row>
    <row r="1016" spans="2:5" x14ac:dyDescent="0.2">
      <c r="B1016" s="15"/>
      <c r="C1016" s="190" t="s">
        <v>101</v>
      </c>
      <c r="D1016" s="190"/>
      <c r="E1016" s="190"/>
    </row>
    <row r="1017" spans="2:5" x14ac:dyDescent="0.2">
      <c r="B1017" s="14" t="s">
        <v>20</v>
      </c>
      <c r="C1017" s="12"/>
      <c r="D1017" s="53"/>
      <c r="E1017" s="13"/>
    </row>
    <row r="1018" spans="2:5" x14ac:dyDescent="0.2">
      <c r="B1018" s="14"/>
      <c r="C1018" s="189" t="s">
        <v>25</v>
      </c>
      <c r="D1018" s="189"/>
      <c r="E1018" s="189"/>
    </row>
    <row r="1019" spans="2:5" ht="13.5" thickBot="1" x14ac:dyDescent="0.25">
      <c r="B1019" s="18"/>
      <c r="C1019" s="19"/>
      <c r="D1019" s="54"/>
      <c r="E1019" s="20"/>
    </row>
    <row r="1020" spans="2:5" ht="13.5" thickBot="1" x14ac:dyDescent="0.25"/>
    <row r="1021" spans="2:5" x14ac:dyDescent="0.2">
      <c r="B1021" s="8" t="s">
        <v>127</v>
      </c>
      <c r="C1021" s="9"/>
      <c r="D1021" s="52"/>
      <c r="E1021" s="10"/>
    </row>
    <row r="1022" spans="2:5" x14ac:dyDescent="0.2">
      <c r="B1022" s="11"/>
      <c r="C1022" s="12"/>
      <c r="D1022" s="53"/>
      <c r="E1022" s="13"/>
    </row>
    <row r="1023" spans="2:5" x14ac:dyDescent="0.2">
      <c r="B1023" s="14" t="s">
        <v>16</v>
      </c>
      <c r="C1023" s="12"/>
      <c r="D1023" s="53"/>
      <c r="E1023" s="13"/>
    </row>
    <row r="1024" spans="2:5" ht="25.5" customHeight="1" x14ac:dyDescent="0.2">
      <c r="B1024" s="14"/>
      <c r="C1024" s="190"/>
      <c r="D1024" s="190"/>
      <c r="E1024" s="190"/>
    </row>
    <row r="1025" spans="2:5" ht="13.5" thickBot="1" x14ac:dyDescent="0.25">
      <c r="B1025" s="14" t="s">
        <v>17</v>
      </c>
      <c r="C1025" s="12"/>
      <c r="D1025" s="53"/>
      <c r="E1025" s="13"/>
    </row>
    <row r="1026" spans="2:5" ht="13.5" thickBot="1" x14ac:dyDescent="0.25">
      <c r="B1026" s="176" t="s">
        <v>206</v>
      </c>
      <c r="C1026" s="177"/>
      <c r="D1026" s="177"/>
      <c r="E1026" s="178"/>
    </row>
    <row r="1027" spans="2:5" ht="13.5" thickBot="1" x14ac:dyDescent="0.25">
      <c r="B1027" s="176" t="s">
        <v>99</v>
      </c>
      <c r="C1027" s="178"/>
      <c r="D1027" s="50" t="s">
        <v>11</v>
      </c>
      <c r="E1027" s="50" t="s">
        <v>100</v>
      </c>
    </row>
    <row r="1028" spans="2:5" x14ac:dyDescent="0.2">
      <c r="B1028" s="183" t="str">
        <f>'[1]COMEDORES EMERGENTES'!$B$3</f>
        <v>UNA SONRISA AV. LOS COBACHO</v>
      </c>
      <c r="C1028" s="184"/>
      <c r="D1028" s="94">
        <v>160</v>
      </c>
      <c r="E1028" s="95" t="str">
        <f>'[1]COMEDORES EMERGENTES'!$G$3</f>
        <v>Bº SAN CARLOS OESTE AV. Bonifacio cobacho 670</v>
      </c>
    </row>
    <row r="1029" spans="2:5" x14ac:dyDescent="0.2">
      <c r="B1029" s="174" t="str">
        <f>'[1]COMEDORES EMERGENTES'!$B$4</f>
        <v>C.I.F Nº1 - RIVERA DEL VALLE Y FLORIDA</v>
      </c>
      <c r="C1029" s="175"/>
      <c r="D1029" s="89">
        <v>230</v>
      </c>
      <c r="E1029" s="90" t="str">
        <f>'[1]COMEDORES EMERGENTES'!$G$4</f>
        <v>AV. RIVIERA DEL VALLE ENTRE FLORIDA Y SANTA FE</v>
      </c>
    </row>
    <row r="1030" spans="2:5" x14ac:dyDescent="0.2">
      <c r="B1030" s="174" t="str">
        <f>'[1]COMEDORES EMERGENTES'!$B$5</f>
        <v>C.I.F - RIVERA DEL VALLE - DILORENZO</v>
      </c>
      <c r="C1030" s="175"/>
      <c r="D1030" s="89">
        <v>270</v>
      </c>
      <c r="E1030" s="90" t="str">
        <f>'[1]COMEDORES EMERGENTES'!$G$5</f>
        <v>Bº RIVERA DEL VALLE ENTRE VILLA EUMELIA Y MONTE CRISTO</v>
      </c>
    </row>
    <row r="1031" spans="2:5" x14ac:dyDescent="0.2">
      <c r="B1031" s="174" t="str">
        <f>'[1]COMEDORES EMERGENTES'!$B$6</f>
        <v>ESFUERZO PROPIO- Bº ALTOS DE CHOYA</v>
      </c>
      <c r="C1031" s="175"/>
      <c r="D1031" s="89">
        <v>220</v>
      </c>
      <c r="E1031" s="90" t="str">
        <f>'[1]COMEDORES EMERGENTES'!$G$6</f>
        <v>Bº MUNICIPAL 35VV. NORTE C/14</v>
      </c>
    </row>
    <row r="1032" spans="2:5" x14ac:dyDescent="0.2">
      <c r="B1032" s="174" t="str">
        <f>'[1]COMEDORES EMERGENTES'!$B$7</f>
        <v>ANGELITOS - LOTEO SUSSEX</v>
      </c>
      <c r="C1032" s="175"/>
      <c r="D1032" s="89">
        <v>100</v>
      </c>
      <c r="E1032" s="90" t="str">
        <f>'[1]COMEDORES EMERGENTES'!$G$7</f>
        <v>Bº LOTEO SUSEX MZA.Nº 4 LOTE Nº3</v>
      </c>
    </row>
    <row r="1033" spans="2:5" x14ac:dyDescent="0.2">
      <c r="B1033" s="174" t="str">
        <f>'[1]COMEDORES EMERGENTES'!$B$8</f>
        <v>CLUB DEPORTIVO CHACARITA</v>
      </c>
      <c r="C1033" s="175"/>
      <c r="D1033" s="89">
        <v>130</v>
      </c>
      <c r="E1033" s="90" t="str">
        <f>'[1]COMEDORES EMERGENTES'!$G$8</f>
        <v>CALLE DR.DERMIDIO GALINDEZ C/2660</v>
      </c>
    </row>
    <row r="1034" spans="2:5" x14ac:dyDescent="0.2">
      <c r="B1034" s="174" t="str">
        <f>'[1]COMEDORES EMERGENTES'!$B$9</f>
        <v>LA MORO</v>
      </c>
      <c r="C1034" s="175"/>
      <c r="D1034" s="89">
        <v>120</v>
      </c>
      <c r="E1034" s="90" t="str">
        <f>'[1]COMEDORES EMERGENTES'!$G$9</f>
        <v>MAIPU NORTE 1º ETAPA MZA "H" Bº MI JARDIN</v>
      </c>
    </row>
    <row r="1035" spans="2:5" x14ac:dyDescent="0.2">
      <c r="B1035" s="174" t="str">
        <f>'[1]COMEDORES EMERGENTES'!$B$10</f>
        <v>PAPA FRANCISCO</v>
      </c>
      <c r="C1035" s="175"/>
      <c r="D1035" s="89">
        <v>200</v>
      </c>
      <c r="E1035" s="90" t="str">
        <f>'[1]COMEDORES EMERGENTES'!$G$10</f>
        <v>ENTRE AV.TEREBINTO Y AV.SAN JUAN LOTE "2" MZA. "B"</v>
      </c>
    </row>
    <row r="1036" spans="2:5" x14ac:dyDescent="0.2">
      <c r="B1036" s="174" t="str">
        <f>'[1]COMEDORES EMERGENTES'!$B$11</f>
        <v>E.P.C - 100 V.V NORTE</v>
      </c>
      <c r="C1036" s="175"/>
      <c r="D1036" s="89">
        <v>300</v>
      </c>
      <c r="E1036" s="90" t="str">
        <f>'[1]COMEDORES EMERGENTES'!$G$11</f>
        <v>Bº VV NORTE C/48 ENTRE ESPAÑA Y FRANCIA</v>
      </c>
    </row>
    <row r="1037" spans="2:5" x14ac:dyDescent="0.2">
      <c r="B1037" s="174" t="str">
        <f>'[1]COMEDORES EMERGENTES'!$B$12</f>
        <v>HOGAR DE CRISTO - PADRE RAUL CONTRERAS</v>
      </c>
      <c r="C1037" s="175"/>
      <c r="D1037" s="89">
        <v>300</v>
      </c>
      <c r="E1037" s="90" t="str">
        <f>'[1]COMEDORES EMERGENTES'!$G$12</f>
        <v>Bº SANTA MARTA MZA. "S" LOTE "M" C/39</v>
      </c>
    </row>
    <row r="1038" spans="2:5" x14ac:dyDescent="0.2">
      <c r="B1038" s="174" t="str">
        <f>'[1]COMEDORES EMERGENTES'!$B$13</f>
        <v>LA LUCIERNAGA</v>
      </c>
      <c r="C1038" s="175"/>
      <c r="D1038" s="89">
        <v>200</v>
      </c>
      <c r="E1038" s="90" t="str">
        <f>'[1]COMEDORES EMERGENTES'!$G$13</f>
        <v>Bº 20 V.V NORTE C/3</v>
      </c>
    </row>
    <row r="1039" spans="2:5" x14ac:dyDescent="0.2">
      <c r="B1039" s="174" t="str">
        <f>'[1]COMEDORES EMERGENTES'!$B$14</f>
        <v>VALLE VIEJO - SUMALAO</v>
      </c>
      <c r="C1039" s="175"/>
      <c r="D1039" s="89">
        <v>350</v>
      </c>
      <c r="E1039" s="90" t="str">
        <f>'[1]COMEDORES EMERGENTES'!$G$14</f>
        <v>PADRE SEGURA S/N</v>
      </c>
    </row>
    <row r="1040" spans="2:5" x14ac:dyDescent="0.2">
      <c r="B1040" s="174" t="str">
        <f>'[1]COMEDORES EMERGENTES'!$B$15</f>
        <v>NUESTRO FUTURO - LAS VIAS</v>
      </c>
      <c r="C1040" s="175"/>
      <c r="D1040" s="89">
        <v>200</v>
      </c>
      <c r="E1040" s="90" t="str">
        <f>'[1]COMEDORES EMERGENTES'!$G$15</f>
        <v>Bº LAS VIAS OESTE LOTE 42</v>
      </c>
    </row>
    <row r="1041" spans="2:5" x14ac:dyDescent="0.2">
      <c r="B1041" s="174" t="str">
        <f>'[1]COMEDORES EMERGENTES'!$B$16</f>
        <v>SAN JOSE OBRERO</v>
      </c>
      <c r="C1041" s="175"/>
      <c r="D1041" s="89">
        <v>130</v>
      </c>
      <c r="E1041" s="90" t="str">
        <f>'[1]COMEDORES EMERGENTES'!$G$16</f>
        <v>Bº SAN JOSE OBRERO. PJE. SANDOVAL S/Nº</v>
      </c>
    </row>
    <row r="1042" spans="2:5" x14ac:dyDescent="0.2">
      <c r="B1042" s="174" t="str">
        <f>'[1]COMEDORES EMERGENTES'!$B$17</f>
        <v>VIRGEN DE LUJAN</v>
      </c>
      <c r="C1042" s="175"/>
      <c r="D1042" s="89">
        <v>200</v>
      </c>
      <c r="E1042" s="90" t="str">
        <f>'[1]COMEDORES EMERGENTES'!$G$17</f>
        <v>Bº OJO DE AGUA C/DR.TEODULFO BARRIONUEVO S/Nº</v>
      </c>
    </row>
    <row r="1043" spans="2:5" x14ac:dyDescent="0.2">
      <c r="B1043" s="174" t="str">
        <f>'[1]COMEDORES EMERGENTES'!$B$18</f>
        <v>RENACER</v>
      </c>
      <c r="C1043" s="175"/>
      <c r="D1043" s="89">
        <v>250</v>
      </c>
      <c r="E1043" s="90" t="str">
        <f>'[1]COMEDORES EMERGENTES'!$G$18</f>
        <v>Bº VIRGEN MORENITA</v>
      </c>
    </row>
    <row r="1044" spans="2:5" x14ac:dyDescent="0.2">
      <c r="B1044" s="174" t="str">
        <f>'[1]COMEDORES EMERGENTES'!$B$19</f>
        <v>CENTRO VECINAL MI JARDIN</v>
      </c>
      <c r="C1044" s="175"/>
      <c r="D1044" s="89">
        <v>180</v>
      </c>
      <c r="E1044" s="90" t="str">
        <f>'[1]COMEDORES EMERGENTES'!$G$19</f>
        <v>C/ LOS TULIPANES ENTRE FLOR DE CEREZO Y HOLANDA MZA.27 Bº MI JARDIN</v>
      </c>
    </row>
    <row r="1045" spans="2:5" x14ac:dyDescent="0.2">
      <c r="B1045" s="174" t="str">
        <f>'[1]COMEDORES EMERGENTES'!$B$20</f>
        <v>LA VIEJA ESQUINA</v>
      </c>
      <c r="C1045" s="175"/>
      <c r="D1045" s="89">
        <v>172</v>
      </c>
      <c r="E1045" s="90" t="str">
        <f>'[1]COMEDORES EMERGENTES'!$G$20</f>
        <v>B° CRISTO REY PJE CAPATAZ VILLAFAÑEZ Y ARMANDO CORREA</v>
      </c>
    </row>
    <row r="1046" spans="2:5" x14ac:dyDescent="0.2">
      <c r="B1046" s="174" t="str">
        <f>'[1]COMEDORES EMERGENTES'!$B$21</f>
        <v>GAUCHITO GIL</v>
      </c>
      <c r="C1046" s="175"/>
      <c r="D1046" s="89">
        <v>168</v>
      </c>
      <c r="E1046" s="90" t="str">
        <f>'[1]COMEDORES EMERGENTES'!$G$21</f>
        <v>B° 26 VIVIENDAS CASA N° 3</v>
      </c>
    </row>
    <row r="1047" spans="2:5" ht="13.5" thickBot="1" x14ac:dyDescent="0.25">
      <c r="B1047" s="191" t="str">
        <f>'[1]COMEDORES EMERGENTES'!$B$22</f>
        <v>LOS TOLDOS</v>
      </c>
      <c r="C1047" s="192"/>
      <c r="D1047" s="96">
        <v>80</v>
      </c>
      <c r="E1047" s="97" t="str">
        <f>'[1]COMEDORES EMERGENTES'!$G$22</f>
        <v>LOTEO PARQUE SUR CALLE S/NOMBRE S/N°</v>
      </c>
    </row>
    <row r="1048" spans="2:5" x14ac:dyDescent="0.2">
      <c r="B1048" s="14" t="s">
        <v>18</v>
      </c>
      <c r="C1048" s="12"/>
      <c r="D1048" s="53"/>
      <c r="E1048" s="13"/>
    </row>
    <row r="1049" spans="2:5" x14ac:dyDescent="0.2">
      <c r="B1049" s="15"/>
      <c r="C1049" s="190" t="s">
        <v>24</v>
      </c>
      <c r="D1049" s="190"/>
      <c r="E1049" s="190"/>
    </row>
    <row r="1050" spans="2:5" x14ac:dyDescent="0.2">
      <c r="B1050" s="14" t="s">
        <v>19</v>
      </c>
      <c r="C1050" s="16"/>
      <c r="D1050" s="16"/>
      <c r="E1050" s="17"/>
    </row>
    <row r="1051" spans="2:5" x14ac:dyDescent="0.2">
      <c r="B1051" s="15"/>
      <c r="C1051" s="190" t="s">
        <v>101</v>
      </c>
      <c r="D1051" s="190"/>
      <c r="E1051" s="190"/>
    </row>
    <row r="1052" spans="2:5" x14ac:dyDescent="0.2">
      <c r="B1052" s="14" t="s">
        <v>20</v>
      </c>
      <c r="C1052" s="12"/>
      <c r="D1052" s="53"/>
      <c r="E1052" s="13"/>
    </row>
    <row r="1053" spans="2:5" x14ac:dyDescent="0.2">
      <c r="B1053" s="14"/>
      <c r="C1053" s="189" t="s">
        <v>25</v>
      </c>
      <c r="D1053" s="189"/>
      <c r="E1053" s="189"/>
    </row>
    <row r="1054" spans="2:5" ht="13.5" thickBot="1" x14ac:dyDescent="0.25">
      <c r="B1054" s="18"/>
      <c r="C1054" s="19"/>
      <c r="D1054" s="54"/>
      <c r="E1054" s="20"/>
    </row>
    <row r="1055" spans="2:5" ht="13.5" thickBot="1" x14ac:dyDescent="0.25"/>
    <row r="1056" spans="2:5" x14ac:dyDescent="0.2">
      <c r="B1056" s="8" t="s">
        <v>128</v>
      </c>
      <c r="C1056" s="9"/>
      <c r="D1056" s="52"/>
      <c r="E1056" s="10"/>
    </row>
    <row r="1057" spans="2:5" x14ac:dyDescent="0.2">
      <c r="B1057" s="11"/>
      <c r="C1057" s="12"/>
      <c r="D1057" s="53"/>
      <c r="E1057" s="13"/>
    </row>
    <row r="1058" spans="2:5" x14ac:dyDescent="0.2">
      <c r="B1058" s="14" t="s">
        <v>16</v>
      </c>
      <c r="C1058" s="12"/>
      <c r="D1058" s="53"/>
      <c r="E1058" s="13"/>
    </row>
    <row r="1059" spans="2:5" ht="25.5" customHeight="1" x14ac:dyDescent="0.2">
      <c r="B1059" s="14"/>
      <c r="C1059" s="190"/>
      <c r="D1059" s="190"/>
      <c r="E1059" s="190"/>
    </row>
    <row r="1060" spans="2:5" ht="13.5" thickBot="1" x14ac:dyDescent="0.25">
      <c r="B1060" s="14" t="s">
        <v>17</v>
      </c>
      <c r="C1060" s="12"/>
      <c r="D1060" s="53"/>
      <c r="E1060" s="13"/>
    </row>
    <row r="1061" spans="2:5" ht="13.5" thickBot="1" x14ac:dyDescent="0.25">
      <c r="B1061" s="176" t="s">
        <v>205</v>
      </c>
      <c r="C1061" s="177"/>
      <c r="D1061" s="177"/>
      <c r="E1061" s="178"/>
    </row>
    <row r="1062" spans="2:5" ht="13.5" thickBot="1" x14ac:dyDescent="0.25">
      <c r="B1062" s="176" t="s">
        <v>99</v>
      </c>
      <c r="C1062" s="178"/>
      <c r="D1062" s="50" t="s">
        <v>11</v>
      </c>
      <c r="E1062" s="50" t="s">
        <v>100</v>
      </c>
    </row>
    <row r="1063" spans="2:5" x14ac:dyDescent="0.2">
      <c r="B1063" s="183" t="str">
        <f>'[1]COMEDORES EMERGENTES'!$B$3</f>
        <v>UNA SONRISA AV. LOS COBACHO</v>
      </c>
      <c r="C1063" s="184"/>
      <c r="D1063" s="94">
        <v>160</v>
      </c>
      <c r="E1063" s="95" t="str">
        <f>'[1]COMEDORES EMERGENTES'!$G$3</f>
        <v>Bº SAN CARLOS OESTE AV. Bonifacio cobacho 670</v>
      </c>
    </row>
    <row r="1064" spans="2:5" x14ac:dyDescent="0.2">
      <c r="B1064" s="174" t="str">
        <f>'[1]COMEDORES EMERGENTES'!$B$4</f>
        <v>C.I.F Nº1 - RIVERA DEL VALLE Y FLORIDA</v>
      </c>
      <c r="C1064" s="175"/>
      <c r="D1064" s="89">
        <v>230</v>
      </c>
      <c r="E1064" s="90" t="str">
        <f>'[1]COMEDORES EMERGENTES'!$G$4</f>
        <v>AV. RIVIERA DEL VALLE ENTRE FLORIDA Y SANTA FE</v>
      </c>
    </row>
    <row r="1065" spans="2:5" x14ac:dyDescent="0.2">
      <c r="B1065" s="174" t="str">
        <f>'[1]COMEDORES EMERGENTES'!$B$5</f>
        <v>C.I.F - RIVERA DEL VALLE - DILORENZO</v>
      </c>
      <c r="C1065" s="175"/>
      <c r="D1065" s="89">
        <v>270</v>
      </c>
      <c r="E1065" s="90" t="str">
        <f>'[1]COMEDORES EMERGENTES'!$G$5</f>
        <v>Bº RIVERA DEL VALLE ENTRE VILLA EUMELIA Y MONTE CRISTO</v>
      </c>
    </row>
    <row r="1066" spans="2:5" x14ac:dyDescent="0.2">
      <c r="B1066" s="174" t="str">
        <f>'[1]COMEDORES EMERGENTES'!$B$6</f>
        <v>ESFUERZO PROPIO- Bº ALTOS DE CHOYA</v>
      </c>
      <c r="C1066" s="175"/>
      <c r="D1066" s="89">
        <v>220</v>
      </c>
      <c r="E1066" s="90" t="str">
        <f>'[1]COMEDORES EMERGENTES'!$G$6</f>
        <v>Bº MUNICIPAL 35VV. NORTE C/14</v>
      </c>
    </row>
    <row r="1067" spans="2:5" x14ac:dyDescent="0.2">
      <c r="B1067" s="174" t="str">
        <f>'[1]COMEDORES EMERGENTES'!$B$7</f>
        <v>ANGELITOS - LOTEO SUSSEX</v>
      </c>
      <c r="C1067" s="175"/>
      <c r="D1067" s="89">
        <v>100</v>
      </c>
      <c r="E1067" s="90" t="str">
        <f>'[1]COMEDORES EMERGENTES'!$G$7</f>
        <v>Bº LOTEO SUSEX MZA.Nº 4 LOTE Nº3</v>
      </c>
    </row>
    <row r="1068" spans="2:5" x14ac:dyDescent="0.2">
      <c r="B1068" s="174" t="str">
        <f>'[1]COMEDORES EMERGENTES'!$B$8</f>
        <v>CLUB DEPORTIVO CHACARITA</v>
      </c>
      <c r="C1068" s="175"/>
      <c r="D1068" s="89">
        <v>130</v>
      </c>
      <c r="E1068" s="90" t="str">
        <f>'[1]COMEDORES EMERGENTES'!$G$8</f>
        <v>CALLE DR.DERMIDIO GALINDEZ C/2660</v>
      </c>
    </row>
    <row r="1069" spans="2:5" x14ac:dyDescent="0.2">
      <c r="B1069" s="174" t="str">
        <f>'[1]COMEDORES EMERGENTES'!$B$9</f>
        <v>LA MORO</v>
      </c>
      <c r="C1069" s="175"/>
      <c r="D1069" s="89">
        <v>120</v>
      </c>
      <c r="E1069" s="90" t="str">
        <f>'[1]COMEDORES EMERGENTES'!$G$9</f>
        <v>MAIPU NORTE 1º ETAPA MZA "H" Bº MI JARDIN</v>
      </c>
    </row>
    <row r="1070" spans="2:5" x14ac:dyDescent="0.2">
      <c r="B1070" s="174" t="str">
        <f>'[1]COMEDORES EMERGENTES'!$B$10</f>
        <v>PAPA FRANCISCO</v>
      </c>
      <c r="C1070" s="175"/>
      <c r="D1070" s="89">
        <v>200</v>
      </c>
      <c r="E1070" s="90" t="str">
        <f>'[1]COMEDORES EMERGENTES'!$G$10</f>
        <v>ENTRE AV.TEREBINTO Y AV.SAN JUAN LOTE "2" MZA. "B"</v>
      </c>
    </row>
    <row r="1071" spans="2:5" x14ac:dyDescent="0.2">
      <c r="B1071" s="174" t="str">
        <f>'[1]COMEDORES EMERGENTES'!$B$11</f>
        <v>E.P.C - 100 V.V NORTE</v>
      </c>
      <c r="C1071" s="175"/>
      <c r="D1071" s="89">
        <v>300</v>
      </c>
      <c r="E1071" s="90" t="str">
        <f>'[1]COMEDORES EMERGENTES'!$G$11</f>
        <v>Bº VV NORTE C/48 ENTRE ESPAÑA Y FRANCIA</v>
      </c>
    </row>
    <row r="1072" spans="2:5" x14ac:dyDescent="0.2">
      <c r="B1072" s="174" t="str">
        <f>'[1]COMEDORES EMERGENTES'!$B$12</f>
        <v>HOGAR DE CRISTO - PADRE RAUL CONTRERAS</v>
      </c>
      <c r="C1072" s="175"/>
      <c r="D1072" s="89">
        <v>300</v>
      </c>
      <c r="E1072" s="90" t="str">
        <f>'[1]COMEDORES EMERGENTES'!$G$12</f>
        <v>Bº SANTA MARTA MZA. "S" LOTE "M" C/39</v>
      </c>
    </row>
    <row r="1073" spans="2:5" x14ac:dyDescent="0.2">
      <c r="B1073" s="174" t="str">
        <f>'[1]COMEDORES EMERGENTES'!$B$13</f>
        <v>LA LUCIERNAGA</v>
      </c>
      <c r="C1073" s="175"/>
      <c r="D1073" s="89">
        <v>200</v>
      </c>
      <c r="E1073" s="90" t="str">
        <f>'[1]COMEDORES EMERGENTES'!$G$13</f>
        <v>Bº 20 V.V NORTE C/3</v>
      </c>
    </row>
    <row r="1074" spans="2:5" x14ac:dyDescent="0.2">
      <c r="B1074" s="174" t="str">
        <f>'[1]COMEDORES EMERGENTES'!$B$14</f>
        <v>VALLE VIEJO - SUMALAO</v>
      </c>
      <c r="C1074" s="175"/>
      <c r="D1074" s="89">
        <v>350</v>
      </c>
      <c r="E1074" s="90" t="str">
        <f>'[1]COMEDORES EMERGENTES'!$G$14</f>
        <v>PADRE SEGURA S/N</v>
      </c>
    </row>
    <row r="1075" spans="2:5" x14ac:dyDescent="0.2">
      <c r="B1075" s="174" t="str">
        <f>'[1]COMEDORES EMERGENTES'!$B$15</f>
        <v>NUESTRO FUTURO - LAS VIAS</v>
      </c>
      <c r="C1075" s="175"/>
      <c r="D1075" s="89">
        <v>200</v>
      </c>
      <c r="E1075" s="90" t="str">
        <f>'[1]COMEDORES EMERGENTES'!$G$15</f>
        <v>Bº LAS VIAS OESTE LOTE 42</v>
      </c>
    </row>
    <row r="1076" spans="2:5" x14ac:dyDescent="0.2">
      <c r="B1076" s="174" t="str">
        <f>'[1]COMEDORES EMERGENTES'!$B$16</f>
        <v>SAN JOSE OBRERO</v>
      </c>
      <c r="C1076" s="175"/>
      <c r="D1076" s="89">
        <v>130</v>
      </c>
      <c r="E1076" s="90" t="str">
        <f>'[1]COMEDORES EMERGENTES'!$G$16</f>
        <v>Bº SAN JOSE OBRERO. PJE. SANDOVAL S/Nº</v>
      </c>
    </row>
    <row r="1077" spans="2:5" x14ac:dyDescent="0.2">
      <c r="B1077" s="174" t="str">
        <f>'[1]COMEDORES EMERGENTES'!$B$17</f>
        <v>VIRGEN DE LUJAN</v>
      </c>
      <c r="C1077" s="175"/>
      <c r="D1077" s="89">
        <v>200</v>
      </c>
      <c r="E1077" s="90" t="str">
        <f>'[1]COMEDORES EMERGENTES'!$G$17</f>
        <v>Bº OJO DE AGUA C/DR.TEODULFO BARRIONUEVO S/Nº</v>
      </c>
    </row>
    <row r="1078" spans="2:5" x14ac:dyDescent="0.2">
      <c r="B1078" s="174" t="str">
        <f>'[1]COMEDORES EMERGENTES'!$B$18</f>
        <v>RENACER</v>
      </c>
      <c r="C1078" s="175"/>
      <c r="D1078" s="89">
        <v>250</v>
      </c>
      <c r="E1078" s="90" t="str">
        <f>'[1]COMEDORES EMERGENTES'!$G$18</f>
        <v>Bº VIRGEN MORENITA</v>
      </c>
    </row>
    <row r="1079" spans="2:5" x14ac:dyDescent="0.2">
      <c r="B1079" s="174" t="str">
        <f>'[1]COMEDORES EMERGENTES'!$B$19</f>
        <v>CENTRO VECINAL MI JARDIN</v>
      </c>
      <c r="C1079" s="175"/>
      <c r="D1079" s="89">
        <v>180</v>
      </c>
      <c r="E1079" s="90" t="str">
        <f>'[1]COMEDORES EMERGENTES'!$G$19</f>
        <v>C/ LOS TULIPANES ENTRE FLOR DE CEREZO Y HOLANDA MZA.27 Bº MI JARDIN</v>
      </c>
    </row>
    <row r="1080" spans="2:5" x14ac:dyDescent="0.2">
      <c r="B1080" s="174" t="str">
        <f>'[1]COMEDORES EMERGENTES'!$B$20</f>
        <v>LA VIEJA ESQUINA</v>
      </c>
      <c r="C1080" s="175"/>
      <c r="D1080" s="89">
        <v>172</v>
      </c>
      <c r="E1080" s="90" t="str">
        <f>'[1]COMEDORES EMERGENTES'!$G$20</f>
        <v>B° CRISTO REY PJE CAPATAZ VILLAFAÑEZ Y ARMANDO CORREA</v>
      </c>
    </row>
    <row r="1081" spans="2:5" x14ac:dyDescent="0.2">
      <c r="B1081" s="174" t="str">
        <f>'[1]COMEDORES EMERGENTES'!$B$21</f>
        <v>GAUCHITO GIL</v>
      </c>
      <c r="C1081" s="175"/>
      <c r="D1081" s="89">
        <v>168</v>
      </c>
      <c r="E1081" s="90" t="str">
        <f>'[1]COMEDORES EMERGENTES'!$G$21</f>
        <v>B° 26 VIVIENDAS CASA N° 3</v>
      </c>
    </row>
    <row r="1082" spans="2:5" ht="13.5" thickBot="1" x14ac:dyDescent="0.25">
      <c r="B1082" s="191" t="str">
        <f>'[1]COMEDORES EMERGENTES'!$B$22</f>
        <v>LOS TOLDOS</v>
      </c>
      <c r="C1082" s="192"/>
      <c r="D1082" s="96">
        <v>80</v>
      </c>
      <c r="E1082" s="97" t="str">
        <f>'[1]COMEDORES EMERGENTES'!$G$22</f>
        <v>LOTEO PARQUE SUR CALLE S/NOMBRE S/N°</v>
      </c>
    </row>
    <row r="1083" spans="2:5" x14ac:dyDescent="0.2">
      <c r="B1083" s="14" t="s">
        <v>18</v>
      </c>
      <c r="C1083" s="12"/>
      <c r="D1083" s="53"/>
      <c r="E1083" s="13"/>
    </row>
    <row r="1084" spans="2:5" x14ac:dyDescent="0.2">
      <c r="B1084" s="15"/>
      <c r="C1084" s="190" t="s">
        <v>24</v>
      </c>
      <c r="D1084" s="190"/>
      <c r="E1084" s="190"/>
    </row>
    <row r="1085" spans="2:5" x14ac:dyDescent="0.2">
      <c r="B1085" s="14" t="s">
        <v>19</v>
      </c>
      <c r="C1085" s="16"/>
      <c r="D1085" s="16"/>
      <c r="E1085" s="17"/>
    </row>
    <row r="1086" spans="2:5" x14ac:dyDescent="0.2">
      <c r="B1086" s="15"/>
      <c r="C1086" s="190" t="s">
        <v>101</v>
      </c>
      <c r="D1086" s="190"/>
      <c r="E1086" s="190"/>
    </row>
    <row r="1087" spans="2:5" x14ac:dyDescent="0.2">
      <c r="B1087" s="14" t="s">
        <v>20</v>
      </c>
      <c r="C1087" s="12"/>
      <c r="D1087" s="53"/>
      <c r="E1087" s="13"/>
    </row>
    <row r="1088" spans="2:5" x14ac:dyDescent="0.2">
      <c r="B1088" s="14"/>
      <c r="C1088" s="189" t="s">
        <v>25</v>
      </c>
      <c r="D1088" s="189"/>
      <c r="E1088" s="189"/>
    </row>
    <row r="1089" spans="2:5" ht="13.5" thickBot="1" x14ac:dyDescent="0.25">
      <c r="B1089" s="18"/>
      <c r="C1089" s="19"/>
      <c r="D1089" s="54"/>
      <c r="E1089" s="20"/>
    </row>
  </sheetData>
  <mergeCells count="787">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 ref="B99:C99"/>
    <mergeCell ref="B100:C100"/>
    <mergeCell ref="B101:C101"/>
    <mergeCell ref="C114:E114"/>
    <mergeCell ref="B117:C117"/>
    <mergeCell ref="B118:C118"/>
    <mergeCell ref="B119:C119"/>
    <mergeCell ref="B120:C120"/>
    <mergeCell ref="B121:C121"/>
    <mergeCell ref="B1:H1"/>
    <mergeCell ref="A3:B3"/>
    <mergeCell ref="C3:E3"/>
    <mergeCell ref="A4:B4"/>
    <mergeCell ref="C4:E4"/>
    <mergeCell ref="A5:B5"/>
    <mergeCell ref="A6:B6"/>
    <mergeCell ref="C44:E44"/>
    <mergeCell ref="B47:C47"/>
    <mergeCell ref="B48:C48"/>
    <mergeCell ref="B49:C49"/>
    <mergeCell ref="B50:C50"/>
    <mergeCell ref="B51:C51"/>
    <mergeCell ref="B52:C52"/>
    <mergeCell ref="B53:C53"/>
    <mergeCell ref="B54:C54"/>
    <mergeCell ref="B55:C55"/>
    <mergeCell ref="B56:C56"/>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156:C156"/>
    <mergeCell ref="B157:C157"/>
    <mergeCell ref="B158:C158"/>
    <mergeCell ref="B159:C159"/>
    <mergeCell ref="C149:E149"/>
    <mergeCell ref="B151:E151"/>
    <mergeCell ref="B152:C152"/>
    <mergeCell ref="B153:C153"/>
    <mergeCell ref="B154:C154"/>
    <mergeCell ref="B155:C155"/>
    <mergeCell ref="B165:C165"/>
    <mergeCell ref="B166:C166"/>
    <mergeCell ref="B167:C167"/>
    <mergeCell ref="B168:C168"/>
    <mergeCell ref="B169:C169"/>
    <mergeCell ref="B160:C160"/>
    <mergeCell ref="B161:C161"/>
    <mergeCell ref="B162:C162"/>
    <mergeCell ref="B163:C163"/>
    <mergeCell ref="B164:C164"/>
    <mergeCell ref="C178:E178"/>
    <mergeCell ref="C184:E184"/>
    <mergeCell ref="B186:E186"/>
    <mergeCell ref="B187:C187"/>
    <mergeCell ref="B188:C188"/>
    <mergeCell ref="B170:C170"/>
    <mergeCell ref="B171:C171"/>
    <mergeCell ref="C174:E174"/>
    <mergeCell ref="C176:E176"/>
    <mergeCell ref="B194:C194"/>
    <mergeCell ref="B195:C195"/>
    <mergeCell ref="B196:C196"/>
    <mergeCell ref="B197:C197"/>
    <mergeCell ref="B198:C198"/>
    <mergeCell ref="B189:C189"/>
    <mergeCell ref="B190:C190"/>
    <mergeCell ref="B191:C191"/>
    <mergeCell ref="B192:C192"/>
    <mergeCell ref="B193:C193"/>
    <mergeCell ref="B204:C204"/>
    <mergeCell ref="B205:C205"/>
    <mergeCell ref="B206:C206"/>
    <mergeCell ref="C209:E209"/>
    <mergeCell ref="B199:C199"/>
    <mergeCell ref="B200:C200"/>
    <mergeCell ref="B201:C201"/>
    <mergeCell ref="B202:C202"/>
    <mergeCell ref="B203:C203"/>
    <mergeCell ref="B223:C223"/>
    <mergeCell ref="B224:C224"/>
    <mergeCell ref="B225:C225"/>
    <mergeCell ref="B226:C226"/>
    <mergeCell ref="B227:C227"/>
    <mergeCell ref="C211:E211"/>
    <mergeCell ref="C213:E213"/>
    <mergeCell ref="C219:E219"/>
    <mergeCell ref="B221:E221"/>
    <mergeCell ref="B222:C222"/>
    <mergeCell ref="B233:C233"/>
    <mergeCell ref="B234:C234"/>
    <mergeCell ref="B235:C235"/>
    <mergeCell ref="B236:C236"/>
    <mergeCell ref="B237:C237"/>
    <mergeCell ref="B228:C228"/>
    <mergeCell ref="B229:C229"/>
    <mergeCell ref="B230:C230"/>
    <mergeCell ref="B231:C231"/>
    <mergeCell ref="B232:C232"/>
    <mergeCell ref="C244:E244"/>
    <mergeCell ref="C246:E246"/>
    <mergeCell ref="C248:E248"/>
    <mergeCell ref="C254:E254"/>
    <mergeCell ref="B256:E256"/>
    <mergeCell ref="B238:C238"/>
    <mergeCell ref="B239:C239"/>
    <mergeCell ref="B240:C240"/>
    <mergeCell ref="B241:C241"/>
    <mergeCell ref="B262:C262"/>
    <mergeCell ref="B263:C263"/>
    <mergeCell ref="B264:C264"/>
    <mergeCell ref="B265:C265"/>
    <mergeCell ref="B266:C266"/>
    <mergeCell ref="B257:C257"/>
    <mergeCell ref="B258:C258"/>
    <mergeCell ref="B259:C259"/>
    <mergeCell ref="B260:C260"/>
    <mergeCell ref="B261:C261"/>
    <mergeCell ref="B272:C272"/>
    <mergeCell ref="B273:C273"/>
    <mergeCell ref="B274:C274"/>
    <mergeCell ref="B275:C275"/>
    <mergeCell ref="B276:C276"/>
    <mergeCell ref="B267:C267"/>
    <mergeCell ref="B268:C268"/>
    <mergeCell ref="B269:C269"/>
    <mergeCell ref="B270:C270"/>
    <mergeCell ref="B271:C271"/>
    <mergeCell ref="B291:E291"/>
    <mergeCell ref="B292:C292"/>
    <mergeCell ref="B293:C293"/>
    <mergeCell ref="B294:C294"/>
    <mergeCell ref="B295:C295"/>
    <mergeCell ref="C279:E279"/>
    <mergeCell ref="C281:E281"/>
    <mergeCell ref="C283:E283"/>
    <mergeCell ref="B301:C301"/>
    <mergeCell ref="B302:C302"/>
    <mergeCell ref="B303:C303"/>
    <mergeCell ref="B304:C304"/>
    <mergeCell ref="B305:C305"/>
    <mergeCell ref="B296:C296"/>
    <mergeCell ref="B297:C297"/>
    <mergeCell ref="B298:C298"/>
    <mergeCell ref="B299:C299"/>
    <mergeCell ref="B300:C300"/>
    <mergeCell ref="B311:C311"/>
    <mergeCell ref="C314:E314"/>
    <mergeCell ref="C316:E316"/>
    <mergeCell ref="C318:E318"/>
    <mergeCell ref="B306:C306"/>
    <mergeCell ref="B307:C307"/>
    <mergeCell ref="B308:C308"/>
    <mergeCell ref="B309:C309"/>
    <mergeCell ref="B310:C310"/>
    <mergeCell ref="B330:C330"/>
    <mergeCell ref="B331:C331"/>
    <mergeCell ref="B332:C332"/>
    <mergeCell ref="B333:C333"/>
    <mergeCell ref="B334:C334"/>
    <mergeCell ref="C324:E324"/>
    <mergeCell ref="B326:E326"/>
    <mergeCell ref="B327:C327"/>
    <mergeCell ref="B328:C328"/>
    <mergeCell ref="B329:C329"/>
    <mergeCell ref="B340:C340"/>
    <mergeCell ref="B341:C341"/>
    <mergeCell ref="B342:C342"/>
    <mergeCell ref="B343:C343"/>
    <mergeCell ref="B344:C344"/>
    <mergeCell ref="B335:C335"/>
    <mergeCell ref="B336:C336"/>
    <mergeCell ref="B337:C337"/>
    <mergeCell ref="B338:C338"/>
    <mergeCell ref="B339:C339"/>
    <mergeCell ref="C353:E353"/>
    <mergeCell ref="C359:E359"/>
    <mergeCell ref="B361:E361"/>
    <mergeCell ref="B362:C362"/>
    <mergeCell ref="B363:C363"/>
    <mergeCell ref="B345:C345"/>
    <mergeCell ref="B346:C346"/>
    <mergeCell ref="C349:E349"/>
    <mergeCell ref="C351:E351"/>
    <mergeCell ref="B369:C369"/>
    <mergeCell ref="B370:C370"/>
    <mergeCell ref="B371:C371"/>
    <mergeCell ref="B372:C372"/>
    <mergeCell ref="B373:C373"/>
    <mergeCell ref="B364:C364"/>
    <mergeCell ref="B365:C365"/>
    <mergeCell ref="B366:C366"/>
    <mergeCell ref="B367:C367"/>
    <mergeCell ref="B368:C368"/>
    <mergeCell ref="B379:C379"/>
    <mergeCell ref="B380:C380"/>
    <mergeCell ref="B381:C381"/>
    <mergeCell ref="C384:E384"/>
    <mergeCell ref="B374:C374"/>
    <mergeCell ref="B375:C375"/>
    <mergeCell ref="B376:C376"/>
    <mergeCell ref="B377:C377"/>
    <mergeCell ref="B378:C378"/>
    <mergeCell ref="B398:C398"/>
    <mergeCell ref="B399:C399"/>
    <mergeCell ref="B400:C400"/>
    <mergeCell ref="B401:C401"/>
    <mergeCell ref="B402:C402"/>
    <mergeCell ref="C386:E386"/>
    <mergeCell ref="C388:E388"/>
    <mergeCell ref="C394:E394"/>
    <mergeCell ref="B396:E396"/>
    <mergeCell ref="B397:C397"/>
    <mergeCell ref="B408:C408"/>
    <mergeCell ref="B409:C409"/>
    <mergeCell ref="B410:C410"/>
    <mergeCell ref="B411:C411"/>
    <mergeCell ref="B412:C412"/>
    <mergeCell ref="B403:C403"/>
    <mergeCell ref="B404:C404"/>
    <mergeCell ref="B405:C405"/>
    <mergeCell ref="B406:C406"/>
    <mergeCell ref="B407:C407"/>
    <mergeCell ref="C419:E419"/>
    <mergeCell ref="C421:E421"/>
    <mergeCell ref="C423:E423"/>
    <mergeCell ref="C429:E429"/>
    <mergeCell ref="B431:E431"/>
    <mergeCell ref="B413:C413"/>
    <mergeCell ref="B414:C414"/>
    <mergeCell ref="B415:C415"/>
    <mergeCell ref="B416:C416"/>
    <mergeCell ref="B437:C437"/>
    <mergeCell ref="B438:C438"/>
    <mergeCell ref="B439:C439"/>
    <mergeCell ref="B440:C440"/>
    <mergeCell ref="B441:C441"/>
    <mergeCell ref="B432:C432"/>
    <mergeCell ref="B433:C433"/>
    <mergeCell ref="B434:C434"/>
    <mergeCell ref="B435:C435"/>
    <mergeCell ref="B436:C436"/>
    <mergeCell ref="B447:C447"/>
    <mergeCell ref="B448:C448"/>
    <mergeCell ref="B449:C449"/>
    <mergeCell ref="B450:C450"/>
    <mergeCell ref="B451:C451"/>
    <mergeCell ref="B442:C442"/>
    <mergeCell ref="B443:C443"/>
    <mergeCell ref="B444:C444"/>
    <mergeCell ref="B445:C445"/>
    <mergeCell ref="B446:C446"/>
    <mergeCell ref="B466:E466"/>
    <mergeCell ref="B467:C467"/>
    <mergeCell ref="B468:C468"/>
    <mergeCell ref="B469:C469"/>
    <mergeCell ref="B470:C470"/>
    <mergeCell ref="C454:E454"/>
    <mergeCell ref="C456:E456"/>
    <mergeCell ref="C458:E458"/>
    <mergeCell ref="C464:E464"/>
    <mergeCell ref="B476:C476"/>
    <mergeCell ref="B477:C477"/>
    <mergeCell ref="B478:C478"/>
    <mergeCell ref="B479:C479"/>
    <mergeCell ref="B480:C480"/>
    <mergeCell ref="B471:C471"/>
    <mergeCell ref="B472:C472"/>
    <mergeCell ref="B473:C473"/>
    <mergeCell ref="B474:C474"/>
    <mergeCell ref="B475:C475"/>
    <mergeCell ref="B486:C486"/>
    <mergeCell ref="C489:E489"/>
    <mergeCell ref="C491:E491"/>
    <mergeCell ref="C493:E493"/>
    <mergeCell ref="B481:C481"/>
    <mergeCell ref="B482:C482"/>
    <mergeCell ref="B483:C483"/>
    <mergeCell ref="B484:C484"/>
    <mergeCell ref="B485:C485"/>
    <mergeCell ref="B505:C505"/>
    <mergeCell ref="B506:C506"/>
    <mergeCell ref="B507:C507"/>
    <mergeCell ref="B508:C508"/>
    <mergeCell ref="B509:C509"/>
    <mergeCell ref="C499:E499"/>
    <mergeCell ref="B501:E501"/>
    <mergeCell ref="B502:C502"/>
    <mergeCell ref="B503:C503"/>
    <mergeCell ref="B504:C504"/>
    <mergeCell ref="B515:C515"/>
    <mergeCell ref="B516:C516"/>
    <mergeCell ref="B517:C517"/>
    <mergeCell ref="B518:C518"/>
    <mergeCell ref="B519:C519"/>
    <mergeCell ref="B510:C510"/>
    <mergeCell ref="B511:C511"/>
    <mergeCell ref="B512:C512"/>
    <mergeCell ref="B513:C513"/>
    <mergeCell ref="B514:C514"/>
    <mergeCell ref="C528:E528"/>
    <mergeCell ref="C534:E534"/>
    <mergeCell ref="B536:E536"/>
    <mergeCell ref="B537:C537"/>
    <mergeCell ref="B538:C538"/>
    <mergeCell ref="B520:C520"/>
    <mergeCell ref="B521:C521"/>
    <mergeCell ref="C524:E524"/>
    <mergeCell ref="C526:E526"/>
    <mergeCell ref="B544:C544"/>
    <mergeCell ref="B545:C545"/>
    <mergeCell ref="B546:C546"/>
    <mergeCell ref="B547:C547"/>
    <mergeCell ref="B548:C548"/>
    <mergeCell ref="B539:C539"/>
    <mergeCell ref="B540:C540"/>
    <mergeCell ref="B541:C541"/>
    <mergeCell ref="B542:C542"/>
    <mergeCell ref="B543:C543"/>
    <mergeCell ref="B554:C554"/>
    <mergeCell ref="B555:C555"/>
    <mergeCell ref="B556:C556"/>
    <mergeCell ref="C559:E559"/>
    <mergeCell ref="B549:C549"/>
    <mergeCell ref="B550:C550"/>
    <mergeCell ref="B551:C551"/>
    <mergeCell ref="B552:C552"/>
    <mergeCell ref="B553:C553"/>
    <mergeCell ref="B573:C573"/>
    <mergeCell ref="B574:C574"/>
    <mergeCell ref="B575:C575"/>
    <mergeCell ref="B576:C576"/>
    <mergeCell ref="B577:C577"/>
    <mergeCell ref="C561:E561"/>
    <mergeCell ref="C563:E563"/>
    <mergeCell ref="C569:E569"/>
    <mergeCell ref="B571:E571"/>
    <mergeCell ref="B572:C572"/>
    <mergeCell ref="B583:C583"/>
    <mergeCell ref="B584:C584"/>
    <mergeCell ref="B585:C585"/>
    <mergeCell ref="B586:C586"/>
    <mergeCell ref="B587:C587"/>
    <mergeCell ref="B578:C578"/>
    <mergeCell ref="B579:C579"/>
    <mergeCell ref="B580:C580"/>
    <mergeCell ref="B581:C581"/>
    <mergeCell ref="B582:C582"/>
    <mergeCell ref="C594:E594"/>
    <mergeCell ref="C596:E596"/>
    <mergeCell ref="C598:E598"/>
    <mergeCell ref="C604:E604"/>
    <mergeCell ref="B606:E606"/>
    <mergeCell ref="B588:C588"/>
    <mergeCell ref="B589:C589"/>
    <mergeCell ref="B590:C590"/>
    <mergeCell ref="B591:C591"/>
    <mergeCell ref="B592:C592"/>
    <mergeCell ref="B612:C612"/>
    <mergeCell ref="B613:C613"/>
    <mergeCell ref="B614:C614"/>
    <mergeCell ref="B615:C615"/>
    <mergeCell ref="B616:C616"/>
    <mergeCell ref="B607:C607"/>
    <mergeCell ref="B608:C608"/>
    <mergeCell ref="B609:C609"/>
    <mergeCell ref="B610:C610"/>
    <mergeCell ref="B611:C611"/>
    <mergeCell ref="B622:C622"/>
    <mergeCell ref="B623:C623"/>
    <mergeCell ref="B624:C624"/>
    <mergeCell ref="B625:C625"/>
    <mergeCell ref="B626:C626"/>
    <mergeCell ref="B617:C617"/>
    <mergeCell ref="B618:C618"/>
    <mergeCell ref="B619:C619"/>
    <mergeCell ref="B620:C620"/>
    <mergeCell ref="B621:C621"/>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61:C661"/>
    <mergeCell ref="C664:E664"/>
    <mergeCell ref="C666:E666"/>
    <mergeCell ref="C668:E668"/>
    <mergeCell ref="B656:C656"/>
    <mergeCell ref="B657:C657"/>
    <mergeCell ref="B658:C658"/>
    <mergeCell ref="B659:C659"/>
    <mergeCell ref="B660:C660"/>
    <mergeCell ref="B662:C662"/>
    <mergeCell ref="B680:C680"/>
    <mergeCell ref="B681:C681"/>
    <mergeCell ref="B682:C682"/>
    <mergeCell ref="B683:C683"/>
    <mergeCell ref="B684:C684"/>
    <mergeCell ref="C674:E674"/>
    <mergeCell ref="B676:E676"/>
    <mergeCell ref="B677:C677"/>
    <mergeCell ref="B678:C678"/>
    <mergeCell ref="B679:C679"/>
    <mergeCell ref="B690:C690"/>
    <mergeCell ref="B691:C691"/>
    <mergeCell ref="B692:C692"/>
    <mergeCell ref="B693:C693"/>
    <mergeCell ref="B694:C694"/>
    <mergeCell ref="B685:C685"/>
    <mergeCell ref="B686:C686"/>
    <mergeCell ref="B687:C687"/>
    <mergeCell ref="B688:C688"/>
    <mergeCell ref="B689:C689"/>
    <mergeCell ref="C703:E703"/>
    <mergeCell ref="C709:E709"/>
    <mergeCell ref="B711:E711"/>
    <mergeCell ref="B712:C712"/>
    <mergeCell ref="B713:C713"/>
    <mergeCell ref="B695:C695"/>
    <mergeCell ref="B696:C696"/>
    <mergeCell ref="C699:E699"/>
    <mergeCell ref="C701:E701"/>
    <mergeCell ref="B697:C697"/>
    <mergeCell ref="B719:C719"/>
    <mergeCell ref="B720:C720"/>
    <mergeCell ref="B721:C721"/>
    <mergeCell ref="B722:C722"/>
    <mergeCell ref="B723:C723"/>
    <mergeCell ref="B714:C714"/>
    <mergeCell ref="B715:C715"/>
    <mergeCell ref="B716:C716"/>
    <mergeCell ref="B717:C717"/>
    <mergeCell ref="B718:C718"/>
    <mergeCell ref="B729:C729"/>
    <mergeCell ref="B730:C730"/>
    <mergeCell ref="B731:C731"/>
    <mergeCell ref="C734:E734"/>
    <mergeCell ref="B724:C724"/>
    <mergeCell ref="B725:C725"/>
    <mergeCell ref="B726:C726"/>
    <mergeCell ref="B727:C727"/>
    <mergeCell ref="B728:C728"/>
    <mergeCell ref="B732:C732"/>
    <mergeCell ref="B748:C748"/>
    <mergeCell ref="B749:C749"/>
    <mergeCell ref="B750:C750"/>
    <mergeCell ref="B751:C751"/>
    <mergeCell ref="B752:C752"/>
    <mergeCell ref="C736:E736"/>
    <mergeCell ref="C738:E738"/>
    <mergeCell ref="C744:E744"/>
    <mergeCell ref="B746:E746"/>
    <mergeCell ref="B747:C747"/>
    <mergeCell ref="B758:C758"/>
    <mergeCell ref="B759:C759"/>
    <mergeCell ref="B760:C760"/>
    <mergeCell ref="B761:C761"/>
    <mergeCell ref="B762:C762"/>
    <mergeCell ref="B753:C753"/>
    <mergeCell ref="B754:C754"/>
    <mergeCell ref="B755:C755"/>
    <mergeCell ref="B756:C756"/>
    <mergeCell ref="B757:C757"/>
    <mergeCell ref="C769:E769"/>
    <mergeCell ref="C771:E771"/>
    <mergeCell ref="C773:E773"/>
    <mergeCell ref="C779:E779"/>
    <mergeCell ref="B781:E781"/>
    <mergeCell ref="B763:C763"/>
    <mergeCell ref="B764:C764"/>
    <mergeCell ref="B765:C765"/>
    <mergeCell ref="B766:C766"/>
    <mergeCell ref="B767:C767"/>
    <mergeCell ref="B787:C787"/>
    <mergeCell ref="B788:C788"/>
    <mergeCell ref="B789:C789"/>
    <mergeCell ref="B790:C790"/>
    <mergeCell ref="B791:C791"/>
    <mergeCell ref="B782:C782"/>
    <mergeCell ref="B783:C783"/>
    <mergeCell ref="B784:C784"/>
    <mergeCell ref="B785:C785"/>
    <mergeCell ref="B786:C78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49:E849"/>
    <mergeCell ref="B851:E851"/>
    <mergeCell ref="B852:C852"/>
    <mergeCell ref="B853:C853"/>
    <mergeCell ref="B854:C854"/>
    <mergeCell ref="B836:C836"/>
    <mergeCell ref="C839:E839"/>
    <mergeCell ref="C841:E841"/>
    <mergeCell ref="C843:E843"/>
    <mergeCell ref="B860:C860"/>
    <mergeCell ref="B861:C861"/>
    <mergeCell ref="B862:C862"/>
    <mergeCell ref="B863:C863"/>
    <mergeCell ref="B864:C864"/>
    <mergeCell ref="B855:C855"/>
    <mergeCell ref="B856:C856"/>
    <mergeCell ref="B857:C857"/>
    <mergeCell ref="B858:C858"/>
    <mergeCell ref="B859:C859"/>
    <mergeCell ref="B870:C870"/>
    <mergeCell ref="B871:C871"/>
    <mergeCell ref="C874:E874"/>
    <mergeCell ref="C876:E876"/>
    <mergeCell ref="B872:C872"/>
    <mergeCell ref="B865:C865"/>
    <mergeCell ref="B866:C866"/>
    <mergeCell ref="B867:C867"/>
    <mergeCell ref="B868:C868"/>
    <mergeCell ref="B869:C869"/>
    <mergeCell ref="B889:C889"/>
    <mergeCell ref="B890:C890"/>
    <mergeCell ref="B891:C891"/>
    <mergeCell ref="B892:C892"/>
    <mergeCell ref="B893:C893"/>
    <mergeCell ref="C878:E878"/>
    <mergeCell ref="C884:E884"/>
    <mergeCell ref="B886:E886"/>
    <mergeCell ref="B887:C887"/>
    <mergeCell ref="B888:C888"/>
    <mergeCell ref="B899:C899"/>
    <mergeCell ref="B900:C900"/>
    <mergeCell ref="B901:C901"/>
    <mergeCell ref="B902:C902"/>
    <mergeCell ref="B903:C903"/>
    <mergeCell ref="B907:C907"/>
    <mergeCell ref="B894:C894"/>
    <mergeCell ref="B895:C895"/>
    <mergeCell ref="B896:C896"/>
    <mergeCell ref="B897:C897"/>
    <mergeCell ref="B898:C898"/>
    <mergeCell ref="C911:E911"/>
    <mergeCell ref="C913:E913"/>
    <mergeCell ref="C919:E919"/>
    <mergeCell ref="B921:E921"/>
    <mergeCell ref="B922:C922"/>
    <mergeCell ref="B904:C904"/>
    <mergeCell ref="B905:C905"/>
    <mergeCell ref="B906:C906"/>
    <mergeCell ref="C909:E909"/>
    <mergeCell ref="B928:C928"/>
    <mergeCell ref="B929:C929"/>
    <mergeCell ref="B930:C930"/>
    <mergeCell ref="B931:C931"/>
    <mergeCell ref="B932:C932"/>
    <mergeCell ref="B923:C923"/>
    <mergeCell ref="B924:C924"/>
    <mergeCell ref="B925:C925"/>
    <mergeCell ref="B926:C926"/>
    <mergeCell ref="B927:C927"/>
    <mergeCell ref="B938:C938"/>
    <mergeCell ref="B939:C939"/>
    <mergeCell ref="B940:C940"/>
    <mergeCell ref="B941:C941"/>
    <mergeCell ref="B942:C942"/>
    <mergeCell ref="B933:C933"/>
    <mergeCell ref="B934:C934"/>
    <mergeCell ref="B935:C935"/>
    <mergeCell ref="B936:C936"/>
    <mergeCell ref="B937:C937"/>
    <mergeCell ref="B957:C957"/>
    <mergeCell ref="B958:C958"/>
    <mergeCell ref="B959:C959"/>
    <mergeCell ref="B960:C960"/>
    <mergeCell ref="B961:C961"/>
    <mergeCell ref="C944:E944"/>
    <mergeCell ref="C946:E946"/>
    <mergeCell ref="C948:E948"/>
    <mergeCell ref="C954:E954"/>
    <mergeCell ref="B956:E956"/>
    <mergeCell ref="B967:C967"/>
    <mergeCell ref="B968:C968"/>
    <mergeCell ref="B969:C969"/>
    <mergeCell ref="B970:C970"/>
    <mergeCell ref="B971:C971"/>
    <mergeCell ref="B962:C962"/>
    <mergeCell ref="B963:C963"/>
    <mergeCell ref="B964:C964"/>
    <mergeCell ref="B965:C965"/>
    <mergeCell ref="B966:C966"/>
    <mergeCell ref="C979:E979"/>
    <mergeCell ref="C981:E981"/>
    <mergeCell ref="C983:E983"/>
    <mergeCell ref="C989:E989"/>
    <mergeCell ref="B972:C972"/>
    <mergeCell ref="B973:C973"/>
    <mergeCell ref="B974:C974"/>
    <mergeCell ref="B975:C975"/>
    <mergeCell ref="B976:C976"/>
    <mergeCell ref="B996:C996"/>
    <mergeCell ref="B997:C997"/>
    <mergeCell ref="B998:C998"/>
    <mergeCell ref="B999:C999"/>
    <mergeCell ref="B1000:C1000"/>
    <mergeCell ref="B991:E991"/>
    <mergeCell ref="B992:C992"/>
    <mergeCell ref="B993:C993"/>
    <mergeCell ref="B994:C994"/>
    <mergeCell ref="B995:C995"/>
    <mergeCell ref="B1006:C1006"/>
    <mergeCell ref="B1007:C1007"/>
    <mergeCell ref="B1008:C1008"/>
    <mergeCell ref="B1009:C1009"/>
    <mergeCell ref="B1010:C1010"/>
    <mergeCell ref="B1012:C1012"/>
    <mergeCell ref="B1001:C1001"/>
    <mergeCell ref="B1002:C1002"/>
    <mergeCell ref="B1003:C1003"/>
    <mergeCell ref="B1004:C1004"/>
    <mergeCell ref="B1005:C1005"/>
    <mergeCell ref="C1024:E1024"/>
    <mergeCell ref="B1026:E1026"/>
    <mergeCell ref="B1027:C1027"/>
    <mergeCell ref="B1028:C1028"/>
    <mergeCell ref="B1029:C1029"/>
    <mergeCell ref="B1011:C1011"/>
    <mergeCell ref="C1014:E1014"/>
    <mergeCell ref="C1016:E1016"/>
    <mergeCell ref="C1018:E1018"/>
    <mergeCell ref="B1035:C1035"/>
    <mergeCell ref="B1036:C1036"/>
    <mergeCell ref="B1037:C1037"/>
    <mergeCell ref="B1038:C1038"/>
    <mergeCell ref="B1039:C1039"/>
    <mergeCell ref="B1030:C1030"/>
    <mergeCell ref="B1031:C1031"/>
    <mergeCell ref="B1032:C1032"/>
    <mergeCell ref="B1033:C1033"/>
    <mergeCell ref="B1034:C1034"/>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513"/>
  <sheetViews>
    <sheetView tabSelected="1" topLeftCell="A70" zoomScale="70" zoomScaleNormal="70" workbookViewId="0">
      <selection activeCell="C72" sqref="C72"/>
    </sheetView>
  </sheetViews>
  <sheetFormatPr baseColWidth="10" defaultColWidth="11" defaultRowHeight="12.75" x14ac:dyDescent="0.2"/>
  <cols>
    <col min="1" max="1" width="4.42578125" style="2" bestFit="1" customWidth="1"/>
    <col min="2" max="2" width="29.140625" style="2" bestFit="1" customWidth="1"/>
    <col min="3" max="3" width="23" style="2" customWidth="1"/>
    <col min="4" max="4" width="11.140625" style="55" customWidth="1"/>
    <col min="5" max="5" width="136.28515625" style="2" customWidth="1"/>
    <col min="6" max="6" width="14.140625" style="2" customWidth="1"/>
    <col min="7" max="7" width="16" style="173" bestFit="1" customWidth="1"/>
    <col min="8" max="8" width="14.7109375" style="170" bestFit="1" customWidth="1"/>
    <col min="9" max="9" width="17.7109375" style="2" bestFit="1" customWidth="1"/>
    <col min="10" max="10" width="14.140625" style="2" bestFit="1" customWidth="1"/>
    <col min="11" max="11" width="12.85546875" style="2" bestFit="1" customWidth="1"/>
    <col min="12" max="16384" width="11" style="2"/>
  </cols>
  <sheetData>
    <row r="1" spans="1:9" ht="27" x14ac:dyDescent="0.35">
      <c r="A1" s="185" t="s">
        <v>0</v>
      </c>
      <c r="B1" s="185"/>
      <c r="C1" s="185"/>
      <c r="D1" s="185"/>
      <c r="E1" s="185"/>
      <c r="F1" s="185"/>
      <c r="G1" s="185"/>
      <c r="H1" s="185"/>
      <c r="I1" s="185"/>
    </row>
    <row r="3" spans="1:9" ht="16.5" customHeight="1" x14ac:dyDescent="0.25">
      <c r="A3" s="182" t="s">
        <v>1</v>
      </c>
      <c r="B3" s="182"/>
      <c r="C3" s="219" t="s">
        <v>276</v>
      </c>
      <c r="D3" s="219"/>
      <c r="E3" s="219"/>
      <c r="F3" s="119"/>
      <c r="G3" s="171"/>
      <c r="H3" s="164"/>
    </row>
    <row r="4" spans="1:9" ht="17.25" customHeight="1" x14ac:dyDescent="0.25">
      <c r="A4" s="182" t="s">
        <v>2</v>
      </c>
      <c r="B4" s="182"/>
      <c r="C4" s="219" t="s">
        <v>23</v>
      </c>
      <c r="D4" s="219"/>
      <c r="E4" s="219"/>
      <c r="F4" s="119"/>
      <c r="G4" s="171"/>
      <c r="H4" s="164"/>
    </row>
    <row r="5" spans="1:9" ht="15" customHeight="1" x14ac:dyDescent="0.25">
      <c r="A5" s="182" t="s">
        <v>3</v>
      </c>
      <c r="B5" s="182"/>
      <c r="C5" s="124">
        <v>2022</v>
      </c>
      <c r="D5" s="125"/>
      <c r="E5" s="126"/>
      <c r="F5" s="119"/>
      <c r="G5" s="171"/>
      <c r="H5" s="164"/>
    </row>
    <row r="6" spans="1:9" ht="16.5" customHeight="1" x14ac:dyDescent="0.25">
      <c r="A6" s="182" t="s">
        <v>263</v>
      </c>
      <c r="B6" s="182"/>
      <c r="C6" s="124">
        <v>3</v>
      </c>
      <c r="D6" s="125"/>
      <c r="E6" s="126"/>
      <c r="F6" s="119"/>
      <c r="G6" s="171"/>
      <c r="H6" s="164"/>
    </row>
    <row r="7" spans="1:9" ht="13.5" thickBot="1" x14ac:dyDescent="0.25">
      <c r="B7" s="3"/>
      <c r="C7" s="4"/>
      <c r="D7" s="4"/>
      <c r="E7" s="3"/>
      <c r="F7" s="119"/>
      <c r="G7" s="171"/>
      <c r="H7" s="164"/>
    </row>
    <row r="8" spans="1:9" ht="39" customHeight="1" thickBot="1" x14ac:dyDescent="0.25">
      <c r="A8" s="114" t="s">
        <v>5</v>
      </c>
      <c r="B8" s="114" t="s">
        <v>6</v>
      </c>
      <c r="C8" s="114" t="s">
        <v>7</v>
      </c>
      <c r="D8" s="114" t="s">
        <v>8</v>
      </c>
      <c r="E8" s="114" t="s">
        <v>9</v>
      </c>
      <c r="F8" s="122" t="s">
        <v>10</v>
      </c>
      <c r="G8" s="165" t="s">
        <v>12</v>
      </c>
      <c r="H8" s="165" t="s">
        <v>11</v>
      </c>
      <c r="I8" s="114" t="s">
        <v>13</v>
      </c>
    </row>
    <row r="9" spans="1:9" ht="30" customHeight="1" x14ac:dyDescent="0.2">
      <c r="A9" s="157">
        <v>1</v>
      </c>
      <c r="B9" s="116" t="s">
        <v>298</v>
      </c>
      <c r="C9" s="23" t="s">
        <v>22</v>
      </c>
      <c r="D9" s="117" t="s">
        <v>35</v>
      </c>
      <c r="E9" s="152" t="s">
        <v>299</v>
      </c>
      <c r="F9" s="118" t="s">
        <v>431</v>
      </c>
      <c r="G9" s="172">
        <v>50</v>
      </c>
      <c r="H9" s="166">
        <v>648</v>
      </c>
      <c r="I9" s="127">
        <f t="shared" ref="I9:I40" si="0">H9*G9</f>
        <v>32400</v>
      </c>
    </row>
    <row r="10" spans="1:9" ht="30" customHeight="1" x14ac:dyDescent="0.2">
      <c r="A10" s="157">
        <v>2</v>
      </c>
      <c r="B10" s="23" t="s">
        <v>300</v>
      </c>
      <c r="C10" s="23" t="s">
        <v>22</v>
      </c>
      <c r="D10" s="117" t="s">
        <v>35</v>
      </c>
      <c r="E10" s="153" t="s">
        <v>301</v>
      </c>
      <c r="F10" s="118" t="s">
        <v>14</v>
      </c>
      <c r="G10" s="172">
        <v>90</v>
      </c>
      <c r="H10" s="166">
        <v>252</v>
      </c>
      <c r="I10" s="127">
        <f t="shared" si="0"/>
        <v>22680</v>
      </c>
    </row>
    <row r="11" spans="1:9" ht="30" customHeight="1" x14ac:dyDescent="0.2">
      <c r="A11" s="157">
        <v>3</v>
      </c>
      <c r="B11" s="23" t="s">
        <v>302</v>
      </c>
      <c r="C11" s="23" t="s">
        <v>22</v>
      </c>
      <c r="D11" s="117" t="s">
        <v>35</v>
      </c>
      <c r="E11" s="153" t="s">
        <v>303</v>
      </c>
      <c r="F11" s="118" t="s">
        <v>78</v>
      </c>
      <c r="G11" s="172">
        <v>160</v>
      </c>
      <c r="H11" s="166">
        <v>420</v>
      </c>
      <c r="I11" s="127">
        <f t="shared" si="0"/>
        <v>67200</v>
      </c>
    </row>
    <row r="12" spans="1:9" ht="30" customHeight="1" x14ac:dyDescent="0.2">
      <c r="A12" s="157">
        <v>4</v>
      </c>
      <c r="B12" s="23" t="s">
        <v>33</v>
      </c>
      <c r="C12" s="23" t="s">
        <v>22</v>
      </c>
      <c r="D12" s="117" t="s">
        <v>35</v>
      </c>
      <c r="E12" s="153" t="s">
        <v>41</v>
      </c>
      <c r="F12" s="118" t="s">
        <v>78</v>
      </c>
      <c r="G12" s="172">
        <v>130</v>
      </c>
      <c r="H12" s="166">
        <v>768</v>
      </c>
      <c r="I12" s="127">
        <f t="shared" si="0"/>
        <v>99840</v>
      </c>
    </row>
    <row r="13" spans="1:9" ht="30" customHeight="1" x14ac:dyDescent="0.2">
      <c r="A13" s="157">
        <v>5</v>
      </c>
      <c r="B13" s="23" t="s">
        <v>304</v>
      </c>
      <c r="C13" s="23" t="s">
        <v>22</v>
      </c>
      <c r="D13" s="117" t="s">
        <v>35</v>
      </c>
      <c r="E13" s="153" t="s">
        <v>305</v>
      </c>
      <c r="F13" s="118" t="s">
        <v>78</v>
      </c>
      <c r="G13" s="172">
        <v>1350</v>
      </c>
      <c r="H13" s="166">
        <v>324</v>
      </c>
      <c r="I13" s="127">
        <f t="shared" si="0"/>
        <v>437400</v>
      </c>
    </row>
    <row r="14" spans="1:9" ht="30" customHeight="1" x14ac:dyDescent="0.2">
      <c r="A14" s="157">
        <v>6</v>
      </c>
      <c r="B14" s="23" t="s">
        <v>306</v>
      </c>
      <c r="C14" s="23" t="s">
        <v>22</v>
      </c>
      <c r="D14" s="117" t="s">
        <v>35</v>
      </c>
      <c r="E14" s="153" t="s">
        <v>307</v>
      </c>
      <c r="F14" s="118" t="s">
        <v>78</v>
      </c>
      <c r="G14" s="172">
        <v>1500</v>
      </c>
      <c r="H14" s="166">
        <v>180</v>
      </c>
      <c r="I14" s="127">
        <f t="shared" si="0"/>
        <v>270000</v>
      </c>
    </row>
    <row r="15" spans="1:9" ht="30" customHeight="1" x14ac:dyDescent="0.2">
      <c r="A15" s="157">
        <v>7</v>
      </c>
      <c r="B15" s="23" t="s">
        <v>48</v>
      </c>
      <c r="C15" s="23" t="s">
        <v>22</v>
      </c>
      <c r="D15" s="117" t="s">
        <v>35</v>
      </c>
      <c r="E15" s="154" t="s">
        <v>55</v>
      </c>
      <c r="F15" s="118" t="s">
        <v>78</v>
      </c>
      <c r="G15" s="172">
        <v>1100</v>
      </c>
      <c r="H15" s="166">
        <v>432</v>
      </c>
      <c r="I15" s="127">
        <f t="shared" si="0"/>
        <v>475200</v>
      </c>
    </row>
    <row r="16" spans="1:9" ht="30" customHeight="1" x14ac:dyDescent="0.2">
      <c r="A16" s="157">
        <v>8</v>
      </c>
      <c r="B16" s="23" t="s">
        <v>308</v>
      </c>
      <c r="C16" s="23" t="s">
        <v>22</v>
      </c>
      <c r="D16" s="117" t="s">
        <v>35</v>
      </c>
      <c r="E16" s="154" t="s">
        <v>309</v>
      </c>
      <c r="F16" s="118" t="s">
        <v>78</v>
      </c>
      <c r="G16" s="172">
        <v>900</v>
      </c>
      <c r="H16" s="166">
        <v>288</v>
      </c>
      <c r="I16" s="127">
        <f t="shared" si="0"/>
        <v>259200</v>
      </c>
    </row>
    <row r="17" spans="1:9" ht="30" customHeight="1" x14ac:dyDescent="0.2">
      <c r="A17" s="157">
        <v>9</v>
      </c>
      <c r="B17" s="23" t="s">
        <v>310</v>
      </c>
      <c r="C17" s="23" t="s">
        <v>22</v>
      </c>
      <c r="D17" s="117" t="s">
        <v>35</v>
      </c>
      <c r="E17" s="153" t="s">
        <v>311</v>
      </c>
      <c r="F17" s="118" t="s">
        <v>14</v>
      </c>
      <c r="G17" s="172">
        <v>250</v>
      </c>
      <c r="H17" s="166">
        <v>108</v>
      </c>
      <c r="I17" s="127">
        <f t="shared" si="0"/>
        <v>27000</v>
      </c>
    </row>
    <row r="18" spans="1:9" ht="30" customHeight="1" x14ac:dyDescent="0.2">
      <c r="A18" s="157">
        <v>10</v>
      </c>
      <c r="B18" s="23" t="s">
        <v>312</v>
      </c>
      <c r="C18" s="23" t="s">
        <v>22</v>
      </c>
      <c r="D18" s="117" t="s">
        <v>35</v>
      </c>
      <c r="E18" s="153" t="s">
        <v>313</v>
      </c>
      <c r="F18" s="118" t="s">
        <v>78</v>
      </c>
      <c r="G18" s="172">
        <v>399</v>
      </c>
      <c r="H18" s="166">
        <v>228</v>
      </c>
      <c r="I18" s="127">
        <f t="shared" si="0"/>
        <v>90972</v>
      </c>
    </row>
    <row r="19" spans="1:9" ht="30" customHeight="1" x14ac:dyDescent="0.2">
      <c r="A19" s="157">
        <v>11</v>
      </c>
      <c r="B19" s="23" t="s">
        <v>314</v>
      </c>
      <c r="C19" s="23" t="s">
        <v>22</v>
      </c>
      <c r="D19" s="117" t="s">
        <v>35</v>
      </c>
      <c r="E19" s="153" t="s">
        <v>315</v>
      </c>
      <c r="F19" s="118" t="s">
        <v>432</v>
      </c>
      <c r="G19" s="172">
        <v>760</v>
      </c>
      <c r="H19" s="166">
        <v>276</v>
      </c>
      <c r="I19" s="127">
        <f t="shared" si="0"/>
        <v>209760</v>
      </c>
    </row>
    <row r="20" spans="1:9" ht="30" customHeight="1" x14ac:dyDescent="0.2">
      <c r="A20" s="157">
        <v>12</v>
      </c>
      <c r="B20" s="23" t="s">
        <v>433</v>
      </c>
      <c r="C20" s="23" t="s">
        <v>22</v>
      </c>
      <c r="D20" s="117" t="s">
        <v>35</v>
      </c>
      <c r="E20" s="153" t="s">
        <v>434</v>
      </c>
      <c r="F20" s="118" t="s">
        <v>14</v>
      </c>
      <c r="G20" s="172">
        <v>4650</v>
      </c>
      <c r="H20" s="166">
        <v>120</v>
      </c>
      <c r="I20" s="127">
        <f t="shared" si="0"/>
        <v>558000</v>
      </c>
    </row>
    <row r="21" spans="1:9" ht="30" customHeight="1" x14ac:dyDescent="0.2">
      <c r="A21" s="157">
        <v>13</v>
      </c>
      <c r="B21" s="23" t="s">
        <v>316</v>
      </c>
      <c r="C21" s="116" t="s">
        <v>22</v>
      </c>
      <c r="D21" s="117" t="s">
        <v>35</v>
      </c>
      <c r="E21" s="153" t="s">
        <v>317</v>
      </c>
      <c r="F21" s="118" t="s">
        <v>431</v>
      </c>
      <c r="G21" s="172">
        <v>50</v>
      </c>
      <c r="H21" s="166">
        <v>276</v>
      </c>
      <c r="I21" s="127">
        <f t="shared" si="0"/>
        <v>13800</v>
      </c>
    </row>
    <row r="22" spans="1:9" ht="30" customHeight="1" x14ac:dyDescent="0.2">
      <c r="A22" s="157">
        <v>14</v>
      </c>
      <c r="B22" s="23" t="s">
        <v>318</v>
      </c>
      <c r="C22" s="23" t="s">
        <v>22</v>
      </c>
      <c r="D22" s="117" t="s">
        <v>35</v>
      </c>
      <c r="E22" s="153" t="s">
        <v>319</v>
      </c>
      <c r="F22" s="118" t="s">
        <v>78</v>
      </c>
      <c r="G22" s="172">
        <v>290</v>
      </c>
      <c r="H22" s="166">
        <v>552</v>
      </c>
      <c r="I22" s="127">
        <f t="shared" si="0"/>
        <v>160080</v>
      </c>
    </row>
    <row r="23" spans="1:9" ht="30" customHeight="1" x14ac:dyDescent="0.2">
      <c r="A23" s="157">
        <v>15</v>
      </c>
      <c r="B23" s="23" t="s">
        <v>320</v>
      </c>
      <c r="C23" s="23" t="s">
        <v>22</v>
      </c>
      <c r="D23" s="117" t="s">
        <v>35</v>
      </c>
      <c r="E23" s="153" t="s">
        <v>321</v>
      </c>
      <c r="F23" s="118" t="s">
        <v>14</v>
      </c>
      <c r="G23" s="172">
        <v>540</v>
      </c>
      <c r="H23" s="166">
        <v>156</v>
      </c>
      <c r="I23" s="127">
        <f t="shared" si="0"/>
        <v>84240</v>
      </c>
    </row>
    <row r="24" spans="1:9" ht="30" customHeight="1" x14ac:dyDescent="0.2">
      <c r="A24" s="157">
        <v>16</v>
      </c>
      <c r="B24" s="23" t="s">
        <v>322</v>
      </c>
      <c r="C24" s="23" t="s">
        <v>22</v>
      </c>
      <c r="D24" s="117" t="s">
        <v>35</v>
      </c>
      <c r="E24" s="153" t="s">
        <v>323</v>
      </c>
      <c r="F24" s="118" t="s">
        <v>14</v>
      </c>
      <c r="G24" s="172">
        <v>177</v>
      </c>
      <c r="H24" s="166">
        <v>444</v>
      </c>
      <c r="I24" s="127">
        <f t="shared" si="0"/>
        <v>78588</v>
      </c>
    </row>
    <row r="25" spans="1:9" ht="30" customHeight="1" x14ac:dyDescent="0.2">
      <c r="A25" s="157">
        <v>17</v>
      </c>
      <c r="B25" s="23" t="s">
        <v>324</v>
      </c>
      <c r="C25" s="23" t="s">
        <v>22</v>
      </c>
      <c r="D25" s="117" t="s">
        <v>35</v>
      </c>
      <c r="E25" s="153" t="s">
        <v>325</v>
      </c>
      <c r="F25" s="118" t="s">
        <v>14</v>
      </c>
      <c r="G25" s="172">
        <v>50</v>
      </c>
      <c r="H25" s="166">
        <v>708</v>
      </c>
      <c r="I25" s="127">
        <f t="shared" si="0"/>
        <v>35400</v>
      </c>
    </row>
    <row r="26" spans="1:9" ht="30" customHeight="1" x14ac:dyDescent="0.2">
      <c r="A26" s="157">
        <v>18</v>
      </c>
      <c r="B26" s="23" t="s">
        <v>326</v>
      </c>
      <c r="C26" s="23" t="s">
        <v>22</v>
      </c>
      <c r="D26" s="117" t="s">
        <v>35</v>
      </c>
      <c r="E26" s="153" t="s">
        <v>327</v>
      </c>
      <c r="F26" s="118" t="s">
        <v>78</v>
      </c>
      <c r="G26" s="172">
        <v>75</v>
      </c>
      <c r="H26" s="166">
        <v>300</v>
      </c>
      <c r="I26" s="127">
        <f t="shared" si="0"/>
        <v>22500</v>
      </c>
    </row>
    <row r="27" spans="1:9" ht="30" customHeight="1" x14ac:dyDescent="0.2">
      <c r="A27" s="157">
        <v>19</v>
      </c>
      <c r="B27" s="23" t="s">
        <v>34</v>
      </c>
      <c r="C27" s="23" t="s">
        <v>22</v>
      </c>
      <c r="D27" s="117" t="s">
        <v>35</v>
      </c>
      <c r="E27" s="153" t="s">
        <v>42</v>
      </c>
      <c r="F27" s="118" t="s">
        <v>78</v>
      </c>
      <c r="G27" s="172">
        <v>90</v>
      </c>
      <c r="H27" s="166">
        <v>1596</v>
      </c>
      <c r="I27" s="127">
        <f t="shared" si="0"/>
        <v>143640</v>
      </c>
    </row>
    <row r="28" spans="1:9" ht="30" customHeight="1" x14ac:dyDescent="0.2">
      <c r="A28" s="157">
        <v>20</v>
      </c>
      <c r="B28" s="23" t="s">
        <v>328</v>
      </c>
      <c r="C28" s="23" t="s">
        <v>22</v>
      </c>
      <c r="D28" s="117" t="s">
        <v>35</v>
      </c>
      <c r="E28" s="153" t="s">
        <v>329</v>
      </c>
      <c r="F28" s="118" t="s">
        <v>78</v>
      </c>
      <c r="G28" s="172">
        <v>270</v>
      </c>
      <c r="H28" s="166">
        <v>456</v>
      </c>
      <c r="I28" s="127">
        <f t="shared" si="0"/>
        <v>123120</v>
      </c>
    </row>
    <row r="29" spans="1:9" ht="30" customHeight="1" x14ac:dyDescent="0.2">
      <c r="A29" s="157">
        <v>21</v>
      </c>
      <c r="B29" s="23" t="s">
        <v>330</v>
      </c>
      <c r="C29" s="23" t="s">
        <v>22</v>
      </c>
      <c r="D29" s="117" t="s">
        <v>35</v>
      </c>
      <c r="E29" s="153" t="s">
        <v>331</v>
      </c>
      <c r="F29" s="118" t="s">
        <v>431</v>
      </c>
      <c r="G29" s="172">
        <v>50</v>
      </c>
      <c r="H29" s="166">
        <v>144</v>
      </c>
      <c r="I29" s="127">
        <f t="shared" si="0"/>
        <v>7200</v>
      </c>
    </row>
    <row r="30" spans="1:9" ht="30" customHeight="1" x14ac:dyDescent="0.2">
      <c r="A30" s="157">
        <v>22</v>
      </c>
      <c r="B30" s="23" t="s">
        <v>332</v>
      </c>
      <c r="C30" s="23" t="s">
        <v>22</v>
      </c>
      <c r="D30" s="117" t="s">
        <v>35</v>
      </c>
      <c r="E30" s="153" t="s">
        <v>333</v>
      </c>
      <c r="F30" s="72" t="s">
        <v>14</v>
      </c>
      <c r="G30" s="172">
        <v>499</v>
      </c>
      <c r="H30" s="167">
        <v>276</v>
      </c>
      <c r="I30" s="128">
        <f t="shared" si="0"/>
        <v>137724</v>
      </c>
    </row>
    <row r="31" spans="1:9" ht="30" customHeight="1" x14ac:dyDescent="0.2">
      <c r="A31" s="157">
        <v>23</v>
      </c>
      <c r="B31" s="23" t="s">
        <v>334</v>
      </c>
      <c r="C31" s="116" t="s">
        <v>22</v>
      </c>
      <c r="D31" s="117" t="s">
        <v>35</v>
      </c>
      <c r="E31" s="153" t="s">
        <v>335</v>
      </c>
      <c r="F31" s="118" t="s">
        <v>78</v>
      </c>
      <c r="G31" s="172">
        <v>1100</v>
      </c>
      <c r="H31" s="166">
        <v>240</v>
      </c>
      <c r="I31" s="127">
        <f t="shared" si="0"/>
        <v>264000</v>
      </c>
    </row>
    <row r="32" spans="1:9" ht="30" customHeight="1" x14ac:dyDescent="0.2">
      <c r="A32" s="157">
        <v>24</v>
      </c>
      <c r="B32" s="23" t="s">
        <v>336</v>
      </c>
      <c r="C32" s="23" t="s">
        <v>22</v>
      </c>
      <c r="D32" s="117" t="s">
        <v>35</v>
      </c>
      <c r="E32" s="153" t="s">
        <v>337</v>
      </c>
      <c r="F32" s="118" t="s">
        <v>14</v>
      </c>
      <c r="G32" s="172">
        <v>3800</v>
      </c>
      <c r="H32" s="166">
        <v>132</v>
      </c>
      <c r="I32" s="127">
        <f t="shared" si="0"/>
        <v>501600</v>
      </c>
    </row>
    <row r="33" spans="1:9" ht="30" customHeight="1" x14ac:dyDescent="0.2">
      <c r="A33" s="157">
        <v>25</v>
      </c>
      <c r="B33" s="23" t="s">
        <v>338</v>
      </c>
      <c r="C33" s="23" t="s">
        <v>22</v>
      </c>
      <c r="D33" s="117" t="s">
        <v>35</v>
      </c>
      <c r="E33" s="153" t="s">
        <v>339</v>
      </c>
      <c r="F33" s="118" t="s">
        <v>465</v>
      </c>
      <c r="G33" s="172">
        <v>5950</v>
      </c>
      <c r="H33" s="168">
        <v>84</v>
      </c>
      <c r="I33" s="127">
        <f t="shared" si="0"/>
        <v>499800</v>
      </c>
    </row>
    <row r="34" spans="1:9" ht="30" customHeight="1" x14ac:dyDescent="0.2">
      <c r="A34" s="157">
        <v>26</v>
      </c>
      <c r="B34" s="23" t="s">
        <v>340</v>
      </c>
      <c r="C34" s="23" t="s">
        <v>22</v>
      </c>
      <c r="D34" s="117" t="s">
        <v>35</v>
      </c>
      <c r="E34" s="153" t="s">
        <v>341</v>
      </c>
      <c r="F34" s="118" t="s">
        <v>465</v>
      </c>
      <c r="G34" s="172">
        <v>5160</v>
      </c>
      <c r="H34" s="168">
        <v>60</v>
      </c>
      <c r="I34" s="127">
        <f t="shared" si="0"/>
        <v>309600</v>
      </c>
    </row>
    <row r="35" spans="1:9" ht="30" customHeight="1" x14ac:dyDescent="0.2">
      <c r="A35" s="157">
        <v>27</v>
      </c>
      <c r="B35" s="23" t="s">
        <v>342</v>
      </c>
      <c r="C35" s="23" t="s">
        <v>22</v>
      </c>
      <c r="D35" s="117" t="s">
        <v>35</v>
      </c>
      <c r="E35" s="153" t="s">
        <v>343</v>
      </c>
      <c r="F35" s="118" t="s">
        <v>14</v>
      </c>
      <c r="G35" s="172">
        <v>218</v>
      </c>
      <c r="H35" s="168">
        <v>336</v>
      </c>
      <c r="I35" s="127">
        <f t="shared" si="0"/>
        <v>73248</v>
      </c>
    </row>
    <row r="36" spans="1:9" ht="30" customHeight="1" x14ac:dyDescent="0.2">
      <c r="A36" s="157">
        <v>28</v>
      </c>
      <c r="B36" s="23" t="s">
        <v>344</v>
      </c>
      <c r="C36" s="23" t="s">
        <v>22</v>
      </c>
      <c r="D36" s="117" t="s">
        <v>35</v>
      </c>
      <c r="E36" s="153" t="s">
        <v>345</v>
      </c>
      <c r="F36" s="118" t="s">
        <v>78</v>
      </c>
      <c r="G36" s="172">
        <v>310</v>
      </c>
      <c r="H36" s="168">
        <v>144</v>
      </c>
      <c r="I36" s="127">
        <f t="shared" si="0"/>
        <v>44640</v>
      </c>
    </row>
    <row r="37" spans="1:9" ht="30" customHeight="1" x14ac:dyDescent="0.2">
      <c r="A37" s="157">
        <v>29</v>
      </c>
      <c r="B37" s="23" t="s">
        <v>346</v>
      </c>
      <c r="C37" s="23" t="s">
        <v>22</v>
      </c>
      <c r="D37" s="117" t="s">
        <v>35</v>
      </c>
      <c r="E37" s="153" t="s">
        <v>347</v>
      </c>
      <c r="F37" s="118" t="s">
        <v>429</v>
      </c>
      <c r="G37" s="172">
        <v>125</v>
      </c>
      <c r="H37" s="168">
        <v>216</v>
      </c>
      <c r="I37" s="127">
        <f t="shared" si="0"/>
        <v>27000</v>
      </c>
    </row>
    <row r="38" spans="1:9" ht="30" customHeight="1" x14ac:dyDescent="0.2">
      <c r="A38" s="157">
        <v>30</v>
      </c>
      <c r="B38" s="23" t="s">
        <v>348</v>
      </c>
      <c r="C38" s="23" t="s">
        <v>22</v>
      </c>
      <c r="D38" s="117" t="s">
        <v>35</v>
      </c>
      <c r="E38" s="153" t="s">
        <v>349</v>
      </c>
      <c r="F38" s="118" t="s">
        <v>78</v>
      </c>
      <c r="G38" s="172">
        <v>300</v>
      </c>
      <c r="H38" s="168">
        <v>660</v>
      </c>
      <c r="I38" s="127">
        <f t="shared" si="0"/>
        <v>198000</v>
      </c>
    </row>
    <row r="39" spans="1:9" ht="30" customHeight="1" x14ac:dyDescent="0.2">
      <c r="A39" s="157">
        <v>31</v>
      </c>
      <c r="B39" s="23" t="s">
        <v>350</v>
      </c>
      <c r="C39" s="23" t="s">
        <v>22</v>
      </c>
      <c r="D39" s="117" t="s">
        <v>35</v>
      </c>
      <c r="E39" s="153" t="s">
        <v>351</v>
      </c>
      <c r="F39" s="118" t="s">
        <v>430</v>
      </c>
      <c r="G39" s="172">
        <v>225</v>
      </c>
      <c r="H39" s="168">
        <v>672</v>
      </c>
      <c r="I39" s="127">
        <f t="shared" si="0"/>
        <v>151200</v>
      </c>
    </row>
    <row r="40" spans="1:9" ht="30" customHeight="1" x14ac:dyDescent="0.2">
      <c r="A40" s="157">
        <v>32</v>
      </c>
      <c r="B40" s="23" t="s">
        <v>352</v>
      </c>
      <c r="C40" s="23" t="s">
        <v>22</v>
      </c>
      <c r="D40" s="117" t="s">
        <v>35</v>
      </c>
      <c r="E40" s="153" t="s">
        <v>353</v>
      </c>
      <c r="F40" s="118" t="s">
        <v>78</v>
      </c>
      <c r="G40" s="172">
        <v>120</v>
      </c>
      <c r="H40" s="168">
        <v>708</v>
      </c>
      <c r="I40" s="127">
        <f t="shared" si="0"/>
        <v>84960</v>
      </c>
    </row>
    <row r="41" spans="1:9" ht="30" customHeight="1" x14ac:dyDescent="0.2">
      <c r="A41" s="157">
        <v>33</v>
      </c>
      <c r="B41" s="23" t="s">
        <v>354</v>
      </c>
      <c r="C41" s="23" t="s">
        <v>22</v>
      </c>
      <c r="D41" s="117" t="s">
        <v>35</v>
      </c>
      <c r="E41" s="153" t="s">
        <v>355</v>
      </c>
      <c r="F41" s="118" t="s">
        <v>78</v>
      </c>
      <c r="G41" s="172">
        <v>230</v>
      </c>
      <c r="H41" s="168">
        <v>720</v>
      </c>
      <c r="I41" s="127">
        <f t="shared" ref="I41:I72" si="1">H41*G41</f>
        <v>165600</v>
      </c>
    </row>
    <row r="42" spans="1:9" ht="30" customHeight="1" x14ac:dyDescent="0.2">
      <c r="A42" s="157">
        <v>34</v>
      </c>
      <c r="B42" s="23" t="s">
        <v>356</v>
      </c>
      <c r="C42" s="23" t="s">
        <v>22</v>
      </c>
      <c r="D42" s="117" t="s">
        <v>35</v>
      </c>
      <c r="E42" s="153" t="s">
        <v>357</v>
      </c>
      <c r="F42" s="118" t="s">
        <v>78</v>
      </c>
      <c r="G42" s="172">
        <v>140</v>
      </c>
      <c r="H42" s="168">
        <v>624</v>
      </c>
      <c r="I42" s="127">
        <f t="shared" si="1"/>
        <v>87360</v>
      </c>
    </row>
    <row r="43" spans="1:9" ht="30" customHeight="1" x14ac:dyDescent="0.2">
      <c r="A43" s="157">
        <v>35</v>
      </c>
      <c r="B43" s="23" t="s">
        <v>358</v>
      </c>
      <c r="C43" s="23" t="s">
        <v>22</v>
      </c>
      <c r="D43" s="117" t="s">
        <v>35</v>
      </c>
      <c r="E43" s="153" t="s">
        <v>359</v>
      </c>
      <c r="F43" s="118" t="s">
        <v>78</v>
      </c>
      <c r="G43" s="172">
        <v>100</v>
      </c>
      <c r="H43" s="168">
        <v>288</v>
      </c>
      <c r="I43" s="127">
        <f t="shared" si="1"/>
        <v>28800</v>
      </c>
    </row>
    <row r="44" spans="1:9" ht="30" customHeight="1" x14ac:dyDescent="0.2">
      <c r="A44" s="157">
        <v>36</v>
      </c>
      <c r="B44" s="23" t="s">
        <v>369</v>
      </c>
      <c r="C44" s="23" t="s">
        <v>22</v>
      </c>
      <c r="D44" s="117" t="s">
        <v>35</v>
      </c>
      <c r="E44" s="153" t="s">
        <v>370</v>
      </c>
      <c r="F44" s="118" t="s">
        <v>78</v>
      </c>
      <c r="G44" s="172">
        <v>110</v>
      </c>
      <c r="H44" s="168">
        <v>24</v>
      </c>
      <c r="I44" s="127">
        <f t="shared" si="1"/>
        <v>2640</v>
      </c>
    </row>
    <row r="45" spans="1:9" ht="30" customHeight="1" x14ac:dyDescent="0.2">
      <c r="A45" s="157">
        <v>37</v>
      </c>
      <c r="B45" s="23" t="s">
        <v>379</v>
      </c>
      <c r="C45" s="23" t="s">
        <v>22</v>
      </c>
      <c r="D45" s="117" t="s">
        <v>35</v>
      </c>
      <c r="E45" s="153" t="s">
        <v>380</v>
      </c>
      <c r="F45" s="118" t="s">
        <v>78</v>
      </c>
      <c r="G45" s="172">
        <v>199</v>
      </c>
      <c r="H45" s="168">
        <v>24</v>
      </c>
      <c r="I45" s="127">
        <f t="shared" si="1"/>
        <v>4776</v>
      </c>
    </row>
    <row r="46" spans="1:9" ht="30" customHeight="1" x14ac:dyDescent="0.2">
      <c r="A46" s="157">
        <v>38</v>
      </c>
      <c r="B46" s="23" t="s">
        <v>381</v>
      </c>
      <c r="C46" s="23" t="s">
        <v>22</v>
      </c>
      <c r="D46" s="117" t="s">
        <v>35</v>
      </c>
      <c r="E46" s="153" t="s">
        <v>382</v>
      </c>
      <c r="F46" s="118" t="s">
        <v>78</v>
      </c>
      <c r="G46" s="172">
        <v>260</v>
      </c>
      <c r="H46" s="168">
        <v>36</v>
      </c>
      <c r="I46" s="127">
        <f t="shared" si="1"/>
        <v>9360</v>
      </c>
    </row>
    <row r="47" spans="1:9" ht="30" customHeight="1" x14ac:dyDescent="0.2">
      <c r="A47" s="157">
        <v>39</v>
      </c>
      <c r="B47" s="23" t="s">
        <v>384</v>
      </c>
      <c r="C47" s="23" t="s">
        <v>22</v>
      </c>
      <c r="D47" s="117" t="s">
        <v>35</v>
      </c>
      <c r="E47" s="153" t="s">
        <v>385</v>
      </c>
      <c r="F47" s="118" t="s">
        <v>78</v>
      </c>
      <c r="G47" s="172">
        <v>270</v>
      </c>
      <c r="H47" s="168">
        <v>48</v>
      </c>
      <c r="I47" s="127">
        <f t="shared" si="1"/>
        <v>12960</v>
      </c>
    </row>
    <row r="48" spans="1:9" ht="30" customHeight="1" x14ac:dyDescent="0.2">
      <c r="A48" s="157">
        <v>40</v>
      </c>
      <c r="B48" s="23" t="s">
        <v>387</v>
      </c>
      <c r="C48" s="23" t="s">
        <v>22</v>
      </c>
      <c r="D48" s="117" t="s">
        <v>35</v>
      </c>
      <c r="E48" s="153" t="s">
        <v>388</v>
      </c>
      <c r="F48" s="118" t="s">
        <v>431</v>
      </c>
      <c r="G48" s="172">
        <v>240</v>
      </c>
      <c r="H48" s="168">
        <v>36</v>
      </c>
      <c r="I48" s="127">
        <f t="shared" si="1"/>
        <v>8640</v>
      </c>
    </row>
    <row r="49" spans="1:11" ht="30" customHeight="1" x14ac:dyDescent="0.2">
      <c r="A49" s="157">
        <v>41</v>
      </c>
      <c r="B49" s="23" t="s">
        <v>389</v>
      </c>
      <c r="C49" s="23" t="s">
        <v>22</v>
      </c>
      <c r="D49" s="117" t="s">
        <v>35</v>
      </c>
      <c r="E49" s="153" t="s">
        <v>390</v>
      </c>
      <c r="F49" s="118" t="s">
        <v>431</v>
      </c>
      <c r="G49" s="172">
        <v>130</v>
      </c>
      <c r="H49" s="168">
        <v>48</v>
      </c>
      <c r="I49" s="127">
        <f t="shared" si="1"/>
        <v>6240</v>
      </c>
    </row>
    <row r="50" spans="1:11" ht="30" customHeight="1" x14ac:dyDescent="0.2">
      <c r="A50" s="157">
        <v>42</v>
      </c>
      <c r="B50" s="23" t="s">
        <v>46</v>
      </c>
      <c r="C50" s="23" t="s">
        <v>22</v>
      </c>
      <c r="D50" s="117" t="s">
        <v>35</v>
      </c>
      <c r="E50" s="153" t="s">
        <v>53</v>
      </c>
      <c r="F50" s="118" t="s">
        <v>431</v>
      </c>
      <c r="G50" s="172">
        <v>129</v>
      </c>
      <c r="H50" s="168">
        <v>72</v>
      </c>
      <c r="I50" s="127">
        <f t="shared" si="1"/>
        <v>9288</v>
      </c>
    </row>
    <row r="51" spans="1:11" ht="30" customHeight="1" x14ac:dyDescent="0.2">
      <c r="A51" s="157">
        <v>43</v>
      </c>
      <c r="B51" s="23" t="s">
        <v>391</v>
      </c>
      <c r="C51" s="23" t="s">
        <v>22</v>
      </c>
      <c r="D51" s="117" t="s">
        <v>35</v>
      </c>
      <c r="E51" s="153" t="s">
        <v>392</v>
      </c>
      <c r="F51" s="118" t="s">
        <v>78</v>
      </c>
      <c r="G51" s="172">
        <v>160</v>
      </c>
      <c r="H51" s="168">
        <v>24</v>
      </c>
      <c r="I51" s="127">
        <f t="shared" si="1"/>
        <v>3840</v>
      </c>
    </row>
    <row r="52" spans="1:11" ht="30" customHeight="1" x14ac:dyDescent="0.2">
      <c r="A52" s="157">
        <v>44</v>
      </c>
      <c r="B52" s="23" t="s">
        <v>393</v>
      </c>
      <c r="C52" s="23" t="s">
        <v>22</v>
      </c>
      <c r="D52" s="117" t="s">
        <v>35</v>
      </c>
      <c r="E52" s="153" t="s">
        <v>394</v>
      </c>
      <c r="F52" s="118" t="s">
        <v>78</v>
      </c>
      <c r="G52" s="172">
        <v>850</v>
      </c>
      <c r="H52" s="168">
        <v>36</v>
      </c>
      <c r="I52" s="127">
        <f t="shared" si="1"/>
        <v>30600</v>
      </c>
    </row>
    <row r="53" spans="1:11" ht="30" customHeight="1" x14ac:dyDescent="0.2">
      <c r="A53" s="157">
        <v>45</v>
      </c>
      <c r="B53" s="23" t="s">
        <v>435</v>
      </c>
      <c r="C53" s="23" t="s">
        <v>22</v>
      </c>
      <c r="D53" s="117" t="s">
        <v>35</v>
      </c>
      <c r="E53" s="153" t="s">
        <v>436</v>
      </c>
      <c r="F53" s="118" t="s">
        <v>78</v>
      </c>
      <c r="G53" s="172">
        <v>370</v>
      </c>
      <c r="H53" s="168">
        <v>60</v>
      </c>
      <c r="I53" s="127">
        <f t="shared" si="1"/>
        <v>22200</v>
      </c>
    </row>
    <row r="54" spans="1:11" ht="30" customHeight="1" x14ac:dyDescent="0.2">
      <c r="A54" s="157">
        <v>46</v>
      </c>
      <c r="B54" s="23" t="s">
        <v>395</v>
      </c>
      <c r="C54" s="23" t="s">
        <v>22</v>
      </c>
      <c r="D54" s="117" t="s">
        <v>35</v>
      </c>
      <c r="E54" s="153" t="s">
        <v>396</v>
      </c>
      <c r="F54" s="118" t="s">
        <v>14</v>
      </c>
      <c r="G54" s="172">
        <v>50</v>
      </c>
      <c r="H54" s="168">
        <v>144</v>
      </c>
      <c r="I54" s="127">
        <f t="shared" si="1"/>
        <v>7200</v>
      </c>
    </row>
    <row r="55" spans="1:11" ht="30" customHeight="1" x14ac:dyDescent="0.2">
      <c r="A55" s="157">
        <v>47</v>
      </c>
      <c r="B55" s="23" t="s">
        <v>398</v>
      </c>
      <c r="C55" s="23" t="s">
        <v>22</v>
      </c>
      <c r="D55" s="117" t="s">
        <v>35</v>
      </c>
      <c r="E55" s="153" t="s">
        <v>399</v>
      </c>
      <c r="F55" s="118" t="s">
        <v>78</v>
      </c>
      <c r="G55" s="172">
        <v>499</v>
      </c>
      <c r="H55" s="168">
        <v>24</v>
      </c>
      <c r="I55" s="127">
        <f t="shared" si="1"/>
        <v>11976</v>
      </c>
    </row>
    <row r="56" spans="1:11" ht="30" customHeight="1" x14ac:dyDescent="0.2">
      <c r="A56" s="157">
        <v>48</v>
      </c>
      <c r="B56" s="23" t="s">
        <v>401</v>
      </c>
      <c r="C56" s="23" t="s">
        <v>22</v>
      </c>
      <c r="D56" s="117" t="s">
        <v>35</v>
      </c>
      <c r="E56" s="153" t="s">
        <v>402</v>
      </c>
      <c r="F56" s="118" t="s">
        <v>78</v>
      </c>
      <c r="G56" s="172">
        <v>380</v>
      </c>
      <c r="H56" s="168">
        <v>24</v>
      </c>
      <c r="I56" s="127">
        <f t="shared" si="1"/>
        <v>9120</v>
      </c>
    </row>
    <row r="57" spans="1:11" ht="30" customHeight="1" x14ac:dyDescent="0.2">
      <c r="A57" s="157">
        <v>49</v>
      </c>
      <c r="B57" s="23" t="s">
        <v>403</v>
      </c>
      <c r="C57" s="23" t="s">
        <v>22</v>
      </c>
      <c r="D57" s="117" t="s">
        <v>35</v>
      </c>
      <c r="E57" s="153" t="s">
        <v>404</v>
      </c>
      <c r="F57" s="118" t="s">
        <v>78</v>
      </c>
      <c r="G57" s="172">
        <v>240</v>
      </c>
      <c r="H57" s="168">
        <v>1848</v>
      </c>
      <c r="I57" s="127">
        <f t="shared" si="1"/>
        <v>443520</v>
      </c>
      <c r="J57" s="155"/>
      <c r="K57" s="156"/>
    </row>
    <row r="58" spans="1:11" ht="30" customHeight="1" x14ac:dyDescent="0.2">
      <c r="A58" s="157">
        <v>50</v>
      </c>
      <c r="B58" s="23" t="s">
        <v>405</v>
      </c>
      <c r="C58" s="23" t="s">
        <v>22</v>
      </c>
      <c r="D58" s="117" t="s">
        <v>35</v>
      </c>
      <c r="E58" s="153" t="s">
        <v>406</v>
      </c>
      <c r="F58" s="118" t="s">
        <v>78</v>
      </c>
      <c r="G58" s="172">
        <v>260</v>
      </c>
      <c r="H58" s="168">
        <v>1848</v>
      </c>
      <c r="I58" s="127">
        <f t="shared" si="1"/>
        <v>480480</v>
      </c>
      <c r="J58" s="155"/>
      <c r="K58" s="156"/>
    </row>
    <row r="59" spans="1:11" ht="30" customHeight="1" x14ac:dyDescent="0.2">
      <c r="A59" s="157">
        <v>51</v>
      </c>
      <c r="B59" s="23" t="s">
        <v>424</v>
      </c>
      <c r="C59" s="23" t="s">
        <v>22</v>
      </c>
      <c r="D59" s="117" t="s">
        <v>35</v>
      </c>
      <c r="E59" s="153" t="s">
        <v>425</v>
      </c>
      <c r="F59" s="123" t="s">
        <v>14</v>
      </c>
      <c r="G59" s="172">
        <v>476</v>
      </c>
      <c r="H59" s="168">
        <v>60</v>
      </c>
      <c r="I59" s="127">
        <f t="shared" si="1"/>
        <v>28560</v>
      </c>
      <c r="J59" s="155"/>
      <c r="K59" s="156"/>
    </row>
    <row r="60" spans="1:11" ht="30" customHeight="1" x14ac:dyDescent="0.2">
      <c r="A60" s="157">
        <v>52</v>
      </c>
      <c r="B60" s="23" t="s">
        <v>412</v>
      </c>
      <c r="C60" s="23" t="s">
        <v>22</v>
      </c>
      <c r="D60" s="117" t="s">
        <v>35</v>
      </c>
      <c r="E60" s="153" t="s">
        <v>413</v>
      </c>
      <c r="F60" s="118" t="s">
        <v>78</v>
      </c>
      <c r="G60" s="172">
        <v>270</v>
      </c>
      <c r="H60" s="168">
        <v>36</v>
      </c>
      <c r="I60" s="127">
        <f t="shared" si="1"/>
        <v>9720</v>
      </c>
    </row>
    <row r="61" spans="1:11" ht="30" customHeight="1" x14ac:dyDescent="0.2">
      <c r="A61" s="157">
        <v>53</v>
      </c>
      <c r="B61" s="23" t="s">
        <v>415</v>
      </c>
      <c r="C61" s="23" t="s">
        <v>22</v>
      </c>
      <c r="D61" s="117" t="s">
        <v>35</v>
      </c>
      <c r="E61" s="153" t="s">
        <v>416</v>
      </c>
      <c r="F61" s="118" t="s">
        <v>78</v>
      </c>
      <c r="G61" s="172">
        <v>760</v>
      </c>
      <c r="H61" s="168">
        <v>36</v>
      </c>
      <c r="I61" s="127">
        <f t="shared" si="1"/>
        <v>27360</v>
      </c>
    </row>
    <row r="62" spans="1:11" ht="30" customHeight="1" x14ac:dyDescent="0.2">
      <c r="A62" s="157">
        <v>54</v>
      </c>
      <c r="B62" s="23" t="s">
        <v>417</v>
      </c>
      <c r="C62" s="23" t="s">
        <v>22</v>
      </c>
      <c r="D62" s="117" t="s">
        <v>35</v>
      </c>
      <c r="E62" s="153" t="s">
        <v>418</v>
      </c>
      <c r="F62" s="118" t="s">
        <v>78</v>
      </c>
      <c r="G62" s="172">
        <v>650</v>
      </c>
      <c r="H62" s="168">
        <v>36</v>
      </c>
      <c r="I62" s="127">
        <f t="shared" si="1"/>
        <v>23400</v>
      </c>
    </row>
    <row r="63" spans="1:11" ht="30" customHeight="1" x14ac:dyDescent="0.2">
      <c r="A63" s="157">
        <v>55</v>
      </c>
      <c r="B63" s="23" t="s">
        <v>419</v>
      </c>
      <c r="C63" s="23" t="s">
        <v>22</v>
      </c>
      <c r="D63" s="117" t="s">
        <v>35</v>
      </c>
      <c r="E63" s="153" t="s">
        <v>420</v>
      </c>
      <c r="F63" s="118" t="s">
        <v>78</v>
      </c>
      <c r="G63" s="172">
        <v>1350</v>
      </c>
      <c r="H63" s="168">
        <v>36</v>
      </c>
      <c r="I63" s="127">
        <f t="shared" si="1"/>
        <v>48600</v>
      </c>
    </row>
    <row r="64" spans="1:11" ht="30" customHeight="1" x14ac:dyDescent="0.2">
      <c r="A64" s="157">
        <v>56</v>
      </c>
      <c r="B64" s="23" t="s">
        <v>421</v>
      </c>
      <c r="C64" s="23" t="s">
        <v>22</v>
      </c>
      <c r="D64" s="117" t="s">
        <v>35</v>
      </c>
      <c r="E64" s="151" t="s">
        <v>422</v>
      </c>
      <c r="F64" s="118" t="s">
        <v>78</v>
      </c>
      <c r="G64" s="172">
        <v>650</v>
      </c>
      <c r="H64" s="168">
        <v>12</v>
      </c>
      <c r="I64" s="127">
        <f t="shared" si="1"/>
        <v>7800</v>
      </c>
    </row>
    <row r="65" spans="1:19" ht="13.5" thickBot="1" x14ac:dyDescent="0.25">
      <c r="A65" s="120"/>
      <c r="B65" s="1"/>
      <c r="C65" s="1"/>
      <c r="D65" s="121"/>
      <c r="E65" s="1"/>
      <c r="F65" s="113"/>
      <c r="H65" s="169"/>
      <c r="I65" s="129">
        <f>SUM(I9:I64)</f>
        <v>7000032</v>
      </c>
    </row>
    <row r="66" spans="1:19" x14ac:dyDescent="0.2">
      <c r="E66" s="115"/>
      <c r="F66" s="115"/>
      <c r="H66" s="169"/>
    </row>
    <row r="67" spans="1:19" ht="13.5" thickBot="1" x14ac:dyDescent="0.25">
      <c r="A67" s="105"/>
      <c r="B67" s="105"/>
      <c r="C67" s="105"/>
      <c r="D67" s="140"/>
      <c r="E67" s="105"/>
    </row>
    <row r="68" spans="1:19" x14ac:dyDescent="0.2">
      <c r="A68" s="105"/>
      <c r="B68" s="130" t="s">
        <v>15</v>
      </c>
      <c r="C68" s="131"/>
      <c r="D68" s="132"/>
      <c r="E68" s="133"/>
    </row>
    <row r="69" spans="1:19" ht="5.25" customHeight="1" x14ac:dyDescent="0.2">
      <c r="A69" s="105"/>
      <c r="B69" s="141"/>
      <c r="C69" s="105"/>
      <c r="D69" s="140"/>
      <c r="E69" s="134"/>
    </row>
    <row r="70" spans="1:19" x14ac:dyDescent="0.2">
      <c r="A70" s="105"/>
      <c r="B70" s="135" t="s">
        <v>16</v>
      </c>
      <c r="C70" s="105"/>
      <c r="D70" s="140"/>
      <c r="E70" s="134"/>
    </row>
    <row r="71" spans="1:19" ht="25.5" customHeight="1" x14ac:dyDescent="0.2">
      <c r="A71" s="105"/>
      <c r="B71" s="135"/>
      <c r="C71" s="207" t="s">
        <v>442</v>
      </c>
      <c r="D71" s="207"/>
      <c r="E71" s="207"/>
      <c r="G71" s="170" t="str">
        <f>B68</f>
        <v>Especificidades Item N° 1:</v>
      </c>
      <c r="H71" s="170" t="str">
        <f>C71</f>
        <v>ACELGA FRESCA EN HOJA - PRESENTACION: ATADO X 500 GRS APROXIMADAMENTE CADA UNO</v>
      </c>
      <c r="I71" s="2">
        <f>D75</f>
        <v>5</v>
      </c>
      <c r="J71" s="2">
        <f>D76</f>
        <v>5</v>
      </c>
      <c r="K71" s="2">
        <f>D77</f>
        <v>5</v>
      </c>
      <c r="L71" s="2">
        <f>D78</f>
        <v>15</v>
      </c>
      <c r="M71" s="2">
        <f>D79</f>
        <v>0</v>
      </c>
      <c r="N71" s="2">
        <f>D80</f>
        <v>4</v>
      </c>
      <c r="O71" s="2">
        <f>D81</f>
        <v>10</v>
      </c>
      <c r="P71" s="2">
        <f>D82</f>
        <v>10</v>
      </c>
      <c r="R71" s="2" t="str">
        <f>B73</f>
        <v>SEMANAL</v>
      </c>
      <c r="S71" s="2" t="str">
        <f>B83</f>
        <v>*SE REALIZA LA ENTREGA DE 54 ATADOS POR SEMANA (DISTRIBUIDOS SEGÚN DETALLE PARA CADA INSTITUCION) LO QUE HACE UNA SUMA DE 216 ATADOS MENSUALES  QUE REPRESENTAN UN TOTAL DE 648 ATADOS TRIMESTRALES</v>
      </c>
    </row>
    <row r="72" spans="1:19" ht="13.5" thickBot="1" x14ac:dyDescent="0.25">
      <c r="A72" s="105"/>
      <c r="B72" s="135" t="s">
        <v>17</v>
      </c>
      <c r="C72" s="105"/>
      <c r="D72" s="140"/>
      <c r="E72" s="134"/>
    </row>
    <row r="73" spans="1:19" ht="13.5" thickBot="1" x14ac:dyDescent="0.25">
      <c r="A73" s="105"/>
      <c r="B73" s="202" t="s">
        <v>98</v>
      </c>
      <c r="C73" s="203"/>
      <c r="D73" s="203"/>
      <c r="E73" s="204"/>
    </row>
    <row r="74" spans="1:19" ht="13.5" thickBot="1" x14ac:dyDescent="0.25">
      <c r="A74" s="105"/>
      <c r="B74" s="202" t="s">
        <v>264</v>
      </c>
      <c r="C74" s="204"/>
      <c r="D74" s="142" t="s">
        <v>11</v>
      </c>
      <c r="E74" s="142" t="s">
        <v>100</v>
      </c>
      <c r="I74" s="104"/>
    </row>
    <row r="75" spans="1:19" x14ac:dyDescent="0.2">
      <c r="A75" s="105"/>
      <c r="B75" s="205" t="s">
        <v>265</v>
      </c>
      <c r="C75" s="205"/>
      <c r="D75" s="143">
        <v>5</v>
      </c>
      <c r="E75" s="148" t="s">
        <v>293</v>
      </c>
      <c r="I75" s="104"/>
    </row>
    <row r="76" spans="1:19" x14ac:dyDescent="0.2">
      <c r="A76" s="105"/>
      <c r="B76" s="206" t="s">
        <v>266</v>
      </c>
      <c r="C76" s="206"/>
      <c r="D76" s="144">
        <v>5</v>
      </c>
      <c r="E76" s="149" t="s">
        <v>295</v>
      </c>
      <c r="I76" s="104"/>
    </row>
    <row r="77" spans="1:19" x14ac:dyDescent="0.2">
      <c r="A77" s="105"/>
      <c r="B77" s="206" t="s">
        <v>267</v>
      </c>
      <c r="C77" s="206"/>
      <c r="D77" s="144">
        <v>5</v>
      </c>
      <c r="E77" s="149" t="s">
        <v>296</v>
      </c>
      <c r="I77" s="104"/>
    </row>
    <row r="78" spans="1:19" x14ac:dyDescent="0.2">
      <c r="A78" s="105"/>
      <c r="B78" s="206" t="s">
        <v>269</v>
      </c>
      <c r="C78" s="206"/>
      <c r="D78" s="144">
        <v>15</v>
      </c>
      <c r="E78" s="149" t="s">
        <v>294</v>
      </c>
      <c r="I78" s="104"/>
    </row>
    <row r="79" spans="1:19" x14ac:dyDescent="0.2">
      <c r="A79" s="105"/>
      <c r="B79" s="206" t="s">
        <v>270</v>
      </c>
      <c r="C79" s="206"/>
      <c r="D79" s="144">
        <v>0</v>
      </c>
      <c r="E79" s="145" t="s">
        <v>360</v>
      </c>
      <c r="I79" s="104"/>
    </row>
    <row r="80" spans="1:19" x14ac:dyDescent="0.2">
      <c r="A80" s="105"/>
      <c r="B80" s="195" t="s">
        <v>268</v>
      </c>
      <c r="C80" s="196"/>
      <c r="D80" s="144">
        <v>4</v>
      </c>
      <c r="E80" s="149" t="s">
        <v>297</v>
      </c>
      <c r="I80" s="104"/>
    </row>
    <row r="81" spans="1:9" s="105" customFormat="1" x14ac:dyDescent="0.2">
      <c r="B81" s="197" t="s">
        <v>365</v>
      </c>
      <c r="C81" s="198"/>
      <c r="D81" s="144">
        <v>10</v>
      </c>
      <c r="E81" s="145" t="s">
        <v>426</v>
      </c>
      <c r="G81" s="173"/>
      <c r="H81" s="170"/>
      <c r="I81" s="112"/>
    </row>
    <row r="82" spans="1:9" s="105" customFormat="1" ht="13.5" thickBot="1" x14ac:dyDescent="0.25">
      <c r="B82" s="195" t="s">
        <v>366</v>
      </c>
      <c r="C82" s="196"/>
      <c r="D82" s="144">
        <v>10</v>
      </c>
      <c r="E82" s="145" t="s">
        <v>427</v>
      </c>
      <c r="G82" s="173"/>
      <c r="H82" s="170"/>
      <c r="I82" s="112"/>
    </row>
    <row r="83" spans="1:9" ht="25.5" customHeight="1" thickBot="1" x14ac:dyDescent="0.25">
      <c r="A83" s="105"/>
      <c r="B83" s="199" t="s">
        <v>471</v>
      </c>
      <c r="C83" s="200"/>
      <c r="D83" s="200"/>
      <c r="E83" s="201"/>
      <c r="I83" s="104"/>
    </row>
    <row r="84" spans="1:9" x14ac:dyDescent="0.2">
      <c r="A84" s="105"/>
      <c r="B84" s="135" t="s">
        <v>18</v>
      </c>
      <c r="C84" s="105"/>
      <c r="D84" s="140"/>
      <c r="E84" s="134"/>
      <c r="I84" s="104"/>
    </row>
    <row r="85" spans="1:9" x14ac:dyDescent="0.2">
      <c r="A85" s="105"/>
      <c r="B85" s="146"/>
      <c r="C85" s="193" t="s">
        <v>24</v>
      </c>
      <c r="D85" s="193"/>
      <c r="E85" s="193"/>
      <c r="I85" s="104"/>
    </row>
    <row r="86" spans="1:9" x14ac:dyDescent="0.2">
      <c r="A86" s="105"/>
      <c r="B86" s="135" t="s">
        <v>19</v>
      </c>
      <c r="C86" s="150"/>
      <c r="D86" s="150"/>
      <c r="E86" s="147"/>
      <c r="I86" s="104"/>
    </row>
    <row r="87" spans="1:9" x14ac:dyDescent="0.2">
      <c r="A87" s="105"/>
      <c r="B87" s="146"/>
      <c r="C87" s="193" t="s">
        <v>101</v>
      </c>
      <c r="D87" s="193"/>
      <c r="E87" s="193"/>
      <c r="I87" s="104"/>
    </row>
    <row r="88" spans="1:9" x14ac:dyDescent="0.2">
      <c r="A88" s="105"/>
      <c r="B88" s="135" t="s">
        <v>20</v>
      </c>
      <c r="C88" s="105"/>
      <c r="D88" s="140"/>
      <c r="E88" s="134"/>
      <c r="I88" s="104"/>
    </row>
    <row r="89" spans="1:9" x14ac:dyDescent="0.2">
      <c r="A89" s="105"/>
      <c r="B89" s="135"/>
      <c r="C89" s="194" t="s">
        <v>25</v>
      </c>
      <c r="D89" s="194"/>
      <c r="E89" s="194"/>
      <c r="I89" s="104"/>
    </row>
    <row r="90" spans="1:9" ht="13.5" thickBot="1" x14ac:dyDescent="0.25">
      <c r="A90" s="105"/>
      <c r="B90" s="136"/>
      <c r="C90" s="137"/>
      <c r="D90" s="138"/>
      <c r="E90" s="139"/>
      <c r="I90" s="104"/>
    </row>
    <row r="91" spans="1:9" ht="13.5" thickBot="1" x14ac:dyDescent="0.25">
      <c r="A91" s="105"/>
      <c r="B91" s="105"/>
      <c r="C91" s="105"/>
      <c r="D91" s="140"/>
      <c r="E91" s="105"/>
      <c r="I91" s="104"/>
    </row>
    <row r="92" spans="1:9" x14ac:dyDescent="0.2">
      <c r="A92" s="105"/>
      <c r="B92" s="130" t="s">
        <v>21</v>
      </c>
      <c r="C92" s="131"/>
      <c r="D92" s="132"/>
      <c r="E92" s="133"/>
      <c r="I92" s="104"/>
    </row>
    <row r="93" spans="1:9" x14ac:dyDescent="0.2">
      <c r="A93" s="105"/>
      <c r="B93" s="141"/>
      <c r="C93" s="105"/>
      <c r="D93" s="140"/>
      <c r="E93" s="134"/>
      <c r="I93" s="104"/>
    </row>
    <row r="94" spans="1:9" x14ac:dyDescent="0.2">
      <c r="A94" s="105"/>
      <c r="B94" s="135" t="s">
        <v>16</v>
      </c>
      <c r="C94" s="105"/>
      <c r="D94" s="140"/>
      <c r="E94" s="134"/>
      <c r="I94" s="104"/>
    </row>
    <row r="95" spans="1:9" x14ac:dyDescent="0.2">
      <c r="A95" s="105"/>
      <c r="B95" s="135"/>
      <c r="C95" s="207" t="s">
        <v>459</v>
      </c>
      <c r="D95" s="207"/>
      <c r="E95" s="207"/>
      <c r="I95" s="104"/>
    </row>
    <row r="96" spans="1:9" ht="13.5" thickBot="1" x14ac:dyDescent="0.25">
      <c r="A96" s="105"/>
      <c r="B96" s="135" t="s">
        <v>17</v>
      </c>
      <c r="C96" s="105"/>
      <c r="D96" s="140"/>
      <c r="E96" s="134"/>
      <c r="I96" s="104"/>
    </row>
    <row r="97" spans="1:9" ht="13.5" thickBot="1" x14ac:dyDescent="0.25">
      <c r="A97" s="105"/>
      <c r="B97" s="202" t="s">
        <v>98</v>
      </c>
      <c r="C97" s="203"/>
      <c r="D97" s="203"/>
      <c r="E97" s="204"/>
      <c r="I97" s="104"/>
    </row>
    <row r="98" spans="1:9" ht="13.5" thickBot="1" x14ac:dyDescent="0.25">
      <c r="A98" s="105"/>
      <c r="B98" s="202" t="s">
        <v>264</v>
      </c>
      <c r="C98" s="204"/>
      <c r="D98" s="142" t="s">
        <v>11</v>
      </c>
      <c r="E98" s="142" t="s">
        <v>100</v>
      </c>
      <c r="I98" s="104"/>
    </row>
    <row r="99" spans="1:9" x14ac:dyDescent="0.2">
      <c r="A99" s="105"/>
      <c r="B99" s="205" t="s">
        <v>265</v>
      </c>
      <c r="C99" s="205"/>
      <c r="D99" s="143">
        <v>2</v>
      </c>
      <c r="E99" s="148" t="s">
        <v>293</v>
      </c>
      <c r="I99" s="104"/>
    </row>
    <row r="100" spans="1:9" x14ac:dyDescent="0.2">
      <c r="A100" s="105"/>
      <c r="B100" s="206" t="s">
        <v>266</v>
      </c>
      <c r="C100" s="206"/>
      <c r="D100" s="144">
        <v>3</v>
      </c>
      <c r="E100" s="149" t="s">
        <v>295</v>
      </c>
      <c r="I100" s="104"/>
    </row>
    <row r="101" spans="1:9" x14ac:dyDescent="0.2">
      <c r="A101" s="105"/>
      <c r="B101" s="206" t="s">
        <v>267</v>
      </c>
      <c r="C101" s="206"/>
      <c r="D101" s="144">
        <v>2</v>
      </c>
      <c r="E101" s="149" t="s">
        <v>296</v>
      </c>
      <c r="I101" s="104"/>
    </row>
    <row r="102" spans="1:9" x14ac:dyDescent="0.2">
      <c r="A102" s="105"/>
      <c r="B102" s="206" t="s">
        <v>269</v>
      </c>
      <c r="C102" s="206"/>
      <c r="D102" s="144">
        <v>5</v>
      </c>
      <c r="E102" s="149" t="s">
        <v>294</v>
      </c>
      <c r="I102" s="104"/>
    </row>
    <row r="103" spans="1:9" x14ac:dyDescent="0.2">
      <c r="A103" s="105"/>
      <c r="B103" s="206" t="s">
        <v>270</v>
      </c>
      <c r="C103" s="206"/>
      <c r="D103" s="144">
        <v>0</v>
      </c>
      <c r="E103" s="145" t="s">
        <v>360</v>
      </c>
      <c r="I103" s="104"/>
    </row>
    <row r="104" spans="1:9" x14ac:dyDescent="0.2">
      <c r="A104" s="105"/>
      <c r="B104" s="195" t="s">
        <v>268</v>
      </c>
      <c r="C104" s="196"/>
      <c r="D104" s="144">
        <v>2</v>
      </c>
      <c r="E104" s="149" t="s">
        <v>297</v>
      </c>
      <c r="I104" s="104"/>
    </row>
    <row r="105" spans="1:9" s="105" customFormat="1" x14ac:dyDescent="0.2">
      <c r="B105" s="197" t="s">
        <v>365</v>
      </c>
      <c r="C105" s="198"/>
      <c r="D105" s="144">
        <v>3</v>
      </c>
      <c r="E105" s="145" t="s">
        <v>426</v>
      </c>
      <c r="G105" s="173"/>
      <c r="H105" s="170"/>
      <c r="I105" s="112"/>
    </row>
    <row r="106" spans="1:9" s="105" customFormat="1" ht="13.5" thickBot="1" x14ac:dyDescent="0.25">
      <c r="B106" s="195" t="s">
        <v>366</v>
      </c>
      <c r="C106" s="196"/>
      <c r="D106" s="144">
        <v>4</v>
      </c>
      <c r="E106" s="145" t="s">
        <v>427</v>
      </c>
      <c r="G106" s="173"/>
      <c r="H106" s="170"/>
      <c r="I106" s="112"/>
    </row>
    <row r="107" spans="1:9" ht="25.5" customHeight="1" thickBot="1" x14ac:dyDescent="0.25">
      <c r="A107" s="105"/>
      <c r="B107" s="199" t="s">
        <v>374</v>
      </c>
      <c r="C107" s="200"/>
      <c r="D107" s="200"/>
      <c r="E107" s="201"/>
      <c r="I107" s="104"/>
    </row>
    <row r="108" spans="1:9" x14ac:dyDescent="0.2">
      <c r="A108" s="105"/>
      <c r="B108" s="135" t="s">
        <v>18</v>
      </c>
      <c r="C108" s="105"/>
      <c r="D108" s="140"/>
      <c r="E108" s="134"/>
      <c r="I108" s="104"/>
    </row>
    <row r="109" spans="1:9" x14ac:dyDescent="0.2">
      <c r="A109" s="105"/>
      <c r="B109" s="146"/>
      <c r="C109" s="193" t="s">
        <v>24</v>
      </c>
      <c r="D109" s="193"/>
      <c r="E109" s="193"/>
      <c r="I109" s="104"/>
    </row>
    <row r="110" spans="1:9" x14ac:dyDescent="0.2">
      <c r="A110" s="105"/>
      <c r="B110" s="135" t="s">
        <v>19</v>
      </c>
      <c r="C110" s="150"/>
      <c r="D110" s="150"/>
      <c r="E110" s="147"/>
      <c r="I110" s="104"/>
    </row>
    <row r="111" spans="1:9" x14ac:dyDescent="0.2">
      <c r="A111" s="105"/>
      <c r="B111" s="146"/>
      <c r="C111" s="193" t="s">
        <v>101</v>
      </c>
      <c r="D111" s="193"/>
      <c r="E111" s="193"/>
      <c r="I111" s="104"/>
    </row>
    <row r="112" spans="1:9" x14ac:dyDescent="0.2">
      <c r="A112" s="105"/>
      <c r="B112" s="135" t="s">
        <v>20</v>
      </c>
      <c r="C112" s="105"/>
      <c r="D112" s="140"/>
      <c r="E112" s="134"/>
      <c r="I112" s="104"/>
    </row>
    <row r="113" spans="1:9" x14ac:dyDescent="0.2">
      <c r="A113" s="105"/>
      <c r="B113" s="135"/>
      <c r="C113" s="194" t="s">
        <v>25</v>
      </c>
      <c r="D113" s="194"/>
      <c r="E113" s="194"/>
      <c r="I113" s="104"/>
    </row>
    <row r="114" spans="1:9" ht="13.5" thickBot="1" x14ac:dyDescent="0.25">
      <c r="A114" s="105"/>
      <c r="B114" s="136"/>
      <c r="C114" s="137"/>
      <c r="D114" s="138"/>
      <c r="E114" s="139"/>
      <c r="I114" s="104"/>
    </row>
    <row r="115" spans="1:9" ht="13.5" thickBot="1" x14ac:dyDescent="0.25">
      <c r="A115" s="105"/>
      <c r="B115" s="105"/>
      <c r="C115" s="105"/>
      <c r="D115" s="140"/>
      <c r="E115" s="105"/>
      <c r="I115" s="104"/>
    </row>
    <row r="116" spans="1:9" x14ac:dyDescent="0.2">
      <c r="A116" s="105"/>
      <c r="B116" s="130" t="s">
        <v>26</v>
      </c>
      <c r="C116" s="131"/>
      <c r="D116" s="132"/>
      <c r="E116" s="133"/>
      <c r="I116" s="104"/>
    </row>
    <row r="117" spans="1:9" x14ac:dyDescent="0.2">
      <c r="A117" s="105"/>
      <c r="B117" s="141"/>
      <c r="C117" s="105"/>
      <c r="D117" s="140"/>
      <c r="E117" s="134"/>
      <c r="I117" s="104"/>
    </row>
    <row r="118" spans="1:9" x14ac:dyDescent="0.2">
      <c r="A118" s="105"/>
      <c r="B118" s="135" t="s">
        <v>16</v>
      </c>
      <c r="C118" s="105"/>
      <c r="D118" s="140"/>
      <c r="E118" s="134"/>
      <c r="I118" s="104"/>
    </row>
    <row r="119" spans="1:9" x14ac:dyDescent="0.2">
      <c r="A119" s="105"/>
      <c r="B119" s="135"/>
      <c r="C119" s="210" t="s">
        <v>441</v>
      </c>
      <c r="D119" s="210"/>
      <c r="E119" s="211"/>
      <c r="I119" s="104"/>
    </row>
    <row r="120" spans="1:9" ht="13.5" thickBot="1" x14ac:dyDescent="0.25">
      <c r="A120" s="105"/>
      <c r="B120" s="135" t="s">
        <v>17</v>
      </c>
      <c r="C120" s="105"/>
      <c r="D120" s="140"/>
      <c r="E120" s="134"/>
      <c r="I120" s="104"/>
    </row>
    <row r="121" spans="1:9" ht="13.5" thickBot="1" x14ac:dyDescent="0.25">
      <c r="A121" s="105"/>
      <c r="B121" s="202" t="s">
        <v>98</v>
      </c>
      <c r="C121" s="203"/>
      <c r="D121" s="203"/>
      <c r="E121" s="204"/>
      <c r="I121" s="104"/>
    </row>
    <row r="122" spans="1:9" ht="13.5" thickBot="1" x14ac:dyDescent="0.25">
      <c r="A122" s="105"/>
      <c r="B122" s="202" t="s">
        <v>264</v>
      </c>
      <c r="C122" s="204"/>
      <c r="D122" s="142" t="s">
        <v>11</v>
      </c>
      <c r="E122" s="142" t="s">
        <v>100</v>
      </c>
      <c r="I122" s="104"/>
    </row>
    <row r="123" spans="1:9" x14ac:dyDescent="0.2">
      <c r="A123" s="105"/>
      <c r="B123" s="205" t="s">
        <v>265</v>
      </c>
      <c r="C123" s="205"/>
      <c r="D123" s="143">
        <v>3</v>
      </c>
      <c r="E123" s="148" t="s">
        <v>293</v>
      </c>
      <c r="I123" s="104"/>
    </row>
    <row r="124" spans="1:9" x14ac:dyDescent="0.2">
      <c r="A124" s="105"/>
      <c r="B124" s="206" t="s">
        <v>266</v>
      </c>
      <c r="C124" s="206"/>
      <c r="D124" s="144">
        <v>3</v>
      </c>
      <c r="E124" s="149" t="s">
        <v>295</v>
      </c>
      <c r="I124" s="104"/>
    </row>
    <row r="125" spans="1:9" x14ac:dyDescent="0.2">
      <c r="A125" s="105"/>
      <c r="B125" s="206" t="s">
        <v>267</v>
      </c>
      <c r="C125" s="206"/>
      <c r="D125" s="144">
        <v>7</v>
      </c>
      <c r="E125" s="149" t="s">
        <v>296</v>
      </c>
      <c r="I125" s="104"/>
    </row>
    <row r="126" spans="1:9" x14ac:dyDescent="0.2">
      <c r="A126" s="105"/>
      <c r="B126" s="206" t="s">
        <v>269</v>
      </c>
      <c r="C126" s="206"/>
      <c r="D126" s="144">
        <v>15</v>
      </c>
      <c r="E126" s="149" t="s">
        <v>294</v>
      </c>
      <c r="I126" s="104"/>
    </row>
    <row r="127" spans="1:9" x14ac:dyDescent="0.2">
      <c r="A127" s="105"/>
      <c r="B127" s="206" t="s">
        <v>270</v>
      </c>
      <c r="C127" s="206"/>
      <c r="D127" s="144">
        <v>0</v>
      </c>
      <c r="E127" s="145" t="s">
        <v>360</v>
      </c>
      <c r="I127" s="104"/>
    </row>
    <row r="128" spans="1:9" x14ac:dyDescent="0.2">
      <c r="A128" s="105"/>
      <c r="B128" s="195" t="s">
        <v>268</v>
      </c>
      <c r="C128" s="196"/>
      <c r="D128" s="144">
        <v>1</v>
      </c>
      <c r="E128" s="149" t="s">
        <v>297</v>
      </c>
      <c r="I128" s="104"/>
    </row>
    <row r="129" spans="1:9" s="105" customFormat="1" x14ac:dyDescent="0.2">
      <c r="B129" s="197" t="s">
        <v>365</v>
      </c>
      <c r="C129" s="198"/>
      <c r="D129" s="144">
        <v>4</v>
      </c>
      <c r="E129" s="145" t="s">
        <v>426</v>
      </c>
      <c r="G129" s="173"/>
      <c r="H129" s="170"/>
      <c r="I129" s="112"/>
    </row>
    <row r="130" spans="1:9" s="105" customFormat="1" ht="13.5" thickBot="1" x14ac:dyDescent="0.25">
      <c r="B130" s="195" t="s">
        <v>366</v>
      </c>
      <c r="C130" s="196"/>
      <c r="D130" s="144">
        <v>2</v>
      </c>
      <c r="E130" s="145" t="s">
        <v>427</v>
      </c>
      <c r="G130" s="173"/>
      <c r="H130" s="170"/>
      <c r="I130" s="112"/>
    </row>
    <row r="131" spans="1:9" ht="26.25" customHeight="1" thickBot="1" x14ac:dyDescent="0.25">
      <c r="A131" s="105"/>
      <c r="B131" s="199" t="s">
        <v>472</v>
      </c>
      <c r="C131" s="200"/>
      <c r="D131" s="200"/>
      <c r="E131" s="201"/>
      <c r="I131" s="104"/>
    </row>
    <row r="132" spans="1:9" x14ac:dyDescent="0.2">
      <c r="A132" s="105"/>
      <c r="B132" s="135" t="s">
        <v>18</v>
      </c>
      <c r="C132" s="105"/>
      <c r="D132" s="140"/>
      <c r="E132" s="134"/>
      <c r="I132" s="104"/>
    </row>
    <row r="133" spans="1:9" x14ac:dyDescent="0.2">
      <c r="A133" s="105"/>
      <c r="B133" s="146"/>
      <c r="C133" s="193" t="s">
        <v>24</v>
      </c>
      <c r="D133" s="193"/>
      <c r="E133" s="193"/>
      <c r="I133" s="104"/>
    </row>
    <row r="134" spans="1:9" x14ac:dyDescent="0.2">
      <c r="A134" s="105"/>
      <c r="B134" s="135" t="s">
        <v>19</v>
      </c>
      <c r="C134" s="150"/>
      <c r="D134" s="150"/>
      <c r="E134" s="147"/>
      <c r="I134" s="104"/>
    </row>
    <row r="135" spans="1:9" x14ac:dyDescent="0.2">
      <c r="A135" s="105"/>
      <c r="B135" s="146"/>
      <c r="C135" s="193" t="s">
        <v>101</v>
      </c>
      <c r="D135" s="193"/>
      <c r="E135" s="193"/>
      <c r="I135" s="104"/>
    </row>
    <row r="136" spans="1:9" x14ac:dyDescent="0.2">
      <c r="A136" s="105"/>
      <c r="B136" s="135" t="s">
        <v>20</v>
      </c>
      <c r="C136" s="105"/>
      <c r="D136" s="140"/>
      <c r="E136" s="134"/>
      <c r="I136" s="104"/>
    </row>
    <row r="137" spans="1:9" x14ac:dyDescent="0.2">
      <c r="A137" s="105"/>
      <c r="B137" s="135"/>
      <c r="C137" s="194" t="s">
        <v>25</v>
      </c>
      <c r="D137" s="194"/>
      <c r="E137" s="194"/>
      <c r="I137" s="104"/>
    </row>
    <row r="138" spans="1:9" ht="13.5" thickBot="1" x14ac:dyDescent="0.25">
      <c r="A138" s="105"/>
      <c r="B138" s="136"/>
      <c r="C138" s="137"/>
      <c r="D138" s="138"/>
      <c r="E138" s="139"/>
      <c r="I138" s="104"/>
    </row>
    <row r="139" spans="1:9" ht="13.5" thickBot="1" x14ac:dyDescent="0.25">
      <c r="A139" s="105"/>
      <c r="B139" s="105"/>
      <c r="C139" s="105"/>
      <c r="D139" s="140"/>
      <c r="E139" s="105"/>
      <c r="I139" s="104"/>
    </row>
    <row r="140" spans="1:9" x14ac:dyDescent="0.2">
      <c r="A140" s="105"/>
      <c r="B140" s="130" t="s">
        <v>102</v>
      </c>
      <c r="C140" s="131"/>
      <c r="D140" s="132"/>
      <c r="E140" s="133"/>
      <c r="I140" s="104"/>
    </row>
    <row r="141" spans="1:9" x14ac:dyDescent="0.2">
      <c r="A141" s="105"/>
      <c r="B141" s="141"/>
      <c r="C141" s="105"/>
      <c r="D141" s="140"/>
      <c r="E141" s="134"/>
      <c r="I141" s="104"/>
    </row>
    <row r="142" spans="1:9" x14ac:dyDescent="0.2">
      <c r="A142" s="105"/>
      <c r="B142" s="135" t="s">
        <v>16</v>
      </c>
      <c r="C142" s="210" t="s">
        <v>41</v>
      </c>
      <c r="D142" s="210"/>
      <c r="E142" s="211"/>
      <c r="I142" s="104"/>
    </row>
    <row r="143" spans="1:9" x14ac:dyDescent="0.2">
      <c r="A143" s="105"/>
      <c r="B143" s="135"/>
      <c r="C143" s="214"/>
      <c r="D143" s="214"/>
      <c r="E143" s="215"/>
      <c r="I143" s="104"/>
    </row>
    <row r="144" spans="1:9" ht="13.5" thickBot="1" x14ac:dyDescent="0.25">
      <c r="A144" s="105"/>
      <c r="B144" s="135" t="s">
        <v>17</v>
      </c>
      <c r="C144" s="105"/>
      <c r="D144" s="140"/>
      <c r="E144" s="134"/>
      <c r="I144" s="104"/>
    </row>
    <row r="145" spans="1:9" ht="13.5" thickBot="1" x14ac:dyDescent="0.25">
      <c r="A145" s="105"/>
      <c r="B145" s="216" t="s">
        <v>98</v>
      </c>
      <c r="C145" s="217"/>
      <c r="D145" s="217"/>
      <c r="E145" s="218"/>
      <c r="I145" s="104"/>
    </row>
    <row r="146" spans="1:9" ht="12.75" customHeight="1" thickBot="1" x14ac:dyDescent="0.25">
      <c r="A146" s="105"/>
      <c r="B146" s="202" t="s">
        <v>264</v>
      </c>
      <c r="C146" s="204"/>
      <c r="D146" s="142" t="s">
        <v>11</v>
      </c>
      <c r="E146" s="142" t="s">
        <v>100</v>
      </c>
      <c r="I146" s="104"/>
    </row>
    <row r="147" spans="1:9" x14ac:dyDescent="0.2">
      <c r="A147" s="105"/>
      <c r="B147" s="205" t="s">
        <v>265</v>
      </c>
      <c r="C147" s="205"/>
      <c r="D147" s="143">
        <v>5</v>
      </c>
      <c r="E147" s="148" t="s">
        <v>293</v>
      </c>
      <c r="I147" s="104"/>
    </row>
    <row r="148" spans="1:9" x14ac:dyDescent="0.2">
      <c r="A148" s="105"/>
      <c r="B148" s="206" t="s">
        <v>266</v>
      </c>
      <c r="C148" s="206"/>
      <c r="D148" s="144">
        <v>10</v>
      </c>
      <c r="E148" s="149" t="s">
        <v>295</v>
      </c>
      <c r="I148" s="104"/>
    </row>
    <row r="149" spans="1:9" x14ac:dyDescent="0.2">
      <c r="A149" s="105"/>
      <c r="B149" s="206" t="s">
        <v>267</v>
      </c>
      <c r="C149" s="206"/>
      <c r="D149" s="144">
        <v>10</v>
      </c>
      <c r="E149" s="149" t="s">
        <v>296</v>
      </c>
      <c r="I149" s="104"/>
    </row>
    <row r="150" spans="1:9" x14ac:dyDescent="0.2">
      <c r="A150" s="105"/>
      <c r="B150" s="206" t="s">
        <v>269</v>
      </c>
      <c r="C150" s="206"/>
      <c r="D150" s="144">
        <v>23</v>
      </c>
      <c r="E150" s="149" t="s">
        <v>294</v>
      </c>
      <c r="I150" s="104"/>
    </row>
    <row r="151" spans="1:9" x14ac:dyDescent="0.2">
      <c r="A151" s="105"/>
      <c r="B151" s="206" t="s">
        <v>270</v>
      </c>
      <c r="C151" s="206"/>
      <c r="D151" s="144">
        <v>0</v>
      </c>
      <c r="E151" s="145" t="s">
        <v>360</v>
      </c>
      <c r="I151" s="104"/>
    </row>
    <row r="152" spans="1:9" x14ac:dyDescent="0.2">
      <c r="A152" s="105"/>
      <c r="B152" s="195" t="s">
        <v>268</v>
      </c>
      <c r="C152" s="196"/>
      <c r="D152" s="144">
        <v>4</v>
      </c>
      <c r="E152" s="149" t="s">
        <v>297</v>
      </c>
      <c r="I152" s="104"/>
    </row>
    <row r="153" spans="1:9" s="105" customFormat="1" x14ac:dyDescent="0.2">
      <c r="B153" s="197" t="s">
        <v>365</v>
      </c>
      <c r="C153" s="198"/>
      <c r="D153" s="144">
        <v>6</v>
      </c>
      <c r="E153" s="145" t="s">
        <v>426</v>
      </c>
      <c r="G153" s="173"/>
      <c r="H153" s="170"/>
      <c r="I153" s="112"/>
    </row>
    <row r="154" spans="1:9" s="105" customFormat="1" ht="13.5" thickBot="1" x14ac:dyDescent="0.25">
      <c r="B154" s="195" t="s">
        <v>366</v>
      </c>
      <c r="C154" s="196"/>
      <c r="D154" s="144">
        <v>6</v>
      </c>
      <c r="E154" s="145" t="s">
        <v>427</v>
      </c>
      <c r="G154" s="173"/>
      <c r="H154" s="170"/>
      <c r="I154" s="112"/>
    </row>
    <row r="155" spans="1:9" ht="26.25" customHeight="1" thickBot="1" x14ac:dyDescent="0.25">
      <c r="A155" s="105"/>
      <c r="B155" s="199" t="s">
        <v>473</v>
      </c>
      <c r="C155" s="200"/>
      <c r="D155" s="200"/>
      <c r="E155" s="201"/>
      <c r="I155" s="104"/>
    </row>
    <row r="156" spans="1:9" x14ac:dyDescent="0.2">
      <c r="A156" s="105"/>
      <c r="B156" s="135" t="s">
        <v>18</v>
      </c>
      <c r="C156" s="105"/>
      <c r="D156" s="140"/>
      <c r="E156" s="134"/>
      <c r="I156" s="104"/>
    </row>
    <row r="157" spans="1:9" x14ac:dyDescent="0.2">
      <c r="A157" s="105"/>
      <c r="B157" s="146"/>
      <c r="C157" s="193" t="s">
        <v>24</v>
      </c>
      <c r="D157" s="193"/>
      <c r="E157" s="193"/>
      <c r="I157" s="104"/>
    </row>
    <row r="158" spans="1:9" x14ac:dyDescent="0.2">
      <c r="A158" s="105"/>
      <c r="B158" s="135" t="s">
        <v>19</v>
      </c>
      <c r="C158" s="150"/>
      <c r="D158" s="150"/>
      <c r="E158" s="147"/>
      <c r="I158" s="104"/>
    </row>
    <row r="159" spans="1:9" x14ac:dyDescent="0.2">
      <c r="A159" s="105"/>
      <c r="B159" s="146"/>
      <c r="C159" s="193" t="s">
        <v>101</v>
      </c>
      <c r="D159" s="193"/>
      <c r="E159" s="193"/>
      <c r="I159" s="104"/>
    </row>
    <row r="160" spans="1:9" x14ac:dyDescent="0.2">
      <c r="A160" s="105"/>
      <c r="B160" s="135" t="s">
        <v>20</v>
      </c>
      <c r="C160" s="105"/>
      <c r="D160" s="140"/>
      <c r="E160" s="134"/>
      <c r="I160" s="104"/>
    </row>
    <row r="161" spans="1:9" x14ac:dyDescent="0.2">
      <c r="A161" s="105"/>
      <c r="B161" s="135"/>
      <c r="C161" s="194" t="s">
        <v>25</v>
      </c>
      <c r="D161" s="194"/>
      <c r="E161" s="194"/>
      <c r="I161" s="104"/>
    </row>
    <row r="162" spans="1:9" ht="13.5" thickBot="1" x14ac:dyDescent="0.25">
      <c r="A162" s="105"/>
      <c r="B162" s="136"/>
      <c r="C162" s="137"/>
      <c r="D162" s="138"/>
      <c r="E162" s="139"/>
      <c r="I162" s="104"/>
    </row>
    <row r="163" spans="1:9" ht="13.5" thickBot="1" x14ac:dyDescent="0.25">
      <c r="A163" s="105"/>
      <c r="B163" s="105"/>
      <c r="C163" s="105"/>
      <c r="D163" s="140"/>
      <c r="E163" s="105"/>
      <c r="I163" s="104"/>
    </row>
    <row r="164" spans="1:9" x14ac:dyDescent="0.2">
      <c r="A164" s="105"/>
      <c r="B164" s="130" t="s">
        <v>103</v>
      </c>
      <c r="C164" s="131"/>
      <c r="D164" s="132"/>
      <c r="E164" s="133"/>
      <c r="I164" s="104"/>
    </row>
    <row r="165" spans="1:9" x14ac:dyDescent="0.2">
      <c r="A165" s="105"/>
      <c r="B165" s="141"/>
      <c r="C165" s="105"/>
      <c r="D165" s="140"/>
      <c r="E165" s="134"/>
      <c r="I165" s="104"/>
    </row>
    <row r="166" spans="1:9" x14ac:dyDescent="0.2">
      <c r="A166" s="105"/>
      <c r="B166" s="135" t="s">
        <v>16</v>
      </c>
      <c r="C166" s="105"/>
      <c r="D166" s="140"/>
      <c r="E166" s="134"/>
      <c r="I166" s="104"/>
    </row>
    <row r="167" spans="1:9" x14ac:dyDescent="0.2">
      <c r="A167" s="105"/>
      <c r="B167" s="135"/>
      <c r="C167" s="207" t="s">
        <v>443</v>
      </c>
      <c r="D167" s="207"/>
      <c r="E167" s="207"/>
      <c r="I167" s="104"/>
    </row>
    <row r="168" spans="1:9" ht="13.5" thickBot="1" x14ac:dyDescent="0.25">
      <c r="A168" s="105"/>
      <c r="B168" s="135" t="s">
        <v>17</v>
      </c>
      <c r="C168" s="105"/>
      <c r="D168" s="140"/>
      <c r="E168" s="134"/>
      <c r="I168" s="104"/>
    </row>
    <row r="169" spans="1:9" ht="13.5" thickBot="1" x14ac:dyDescent="0.25">
      <c r="A169" s="105"/>
      <c r="B169" s="202" t="s">
        <v>98</v>
      </c>
      <c r="C169" s="203"/>
      <c r="D169" s="203"/>
      <c r="E169" s="204"/>
      <c r="I169" s="104"/>
    </row>
    <row r="170" spans="1:9" ht="13.5" thickBot="1" x14ac:dyDescent="0.25">
      <c r="A170" s="105"/>
      <c r="B170" s="202" t="s">
        <v>264</v>
      </c>
      <c r="C170" s="204"/>
      <c r="D170" s="142" t="s">
        <v>11</v>
      </c>
      <c r="E170" s="142" t="s">
        <v>100</v>
      </c>
      <c r="I170" s="104"/>
    </row>
    <row r="171" spans="1:9" x14ac:dyDescent="0.2">
      <c r="A171" s="105"/>
      <c r="B171" s="205" t="s">
        <v>265</v>
      </c>
      <c r="C171" s="205"/>
      <c r="D171" s="143">
        <v>5</v>
      </c>
      <c r="E171" s="148" t="s">
        <v>293</v>
      </c>
      <c r="I171" s="104"/>
    </row>
    <row r="172" spans="1:9" x14ac:dyDescent="0.2">
      <c r="A172" s="105"/>
      <c r="B172" s="206" t="s">
        <v>266</v>
      </c>
      <c r="C172" s="206"/>
      <c r="D172" s="144">
        <v>6</v>
      </c>
      <c r="E172" s="149" t="s">
        <v>295</v>
      </c>
      <c r="I172" s="104"/>
    </row>
    <row r="173" spans="1:9" x14ac:dyDescent="0.2">
      <c r="A173" s="105"/>
      <c r="B173" s="206" t="s">
        <v>267</v>
      </c>
      <c r="C173" s="206"/>
      <c r="D173" s="144">
        <v>7</v>
      </c>
      <c r="E173" s="149" t="s">
        <v>296</v>
      </c>
      <c r="I173" s="104"/>
    </row>
    <row r="174" spans="1:9" x14ac:dyDescent="0.2">
      <c r="A174" s="105"/>
      <c r="B174" s="206" t="s">
        <v>269</v>
      </c>
      <c r="C174" s="206"/>
      <c r="D174" s="144">
        <v>6</v>
      </c>
      <c r="E174" s="149" t="s">
        <v>294</v>
      </c>
      <c r="I174" s="104"/>
    </row>
    <row r="175" spans="1:9" x14ac:dyDescent="0.2">
      <c r="A175" s="105"/>
      <c r="B175" s="206" t="s">
        <v>270</v>
      </c>
      <c r="C175" s="206"/>
      <c r="D175" s="144">
        <v>0</v>
      </c>
      <c r="E175" s="145" t="s">
        <v>360</v>
      </c>
      <c r="I175" s="104"/>
    </row>
    <row r="176" spans="1:9" x14ac:dyDescent="0.2">
      <c r="A176" s="105"/>
      <c r="B176" s="195" t="s">
        <v>268</v>
      </c>
      <c r="C176" s="196"/>
      <c r="D176" s="144">
        <v>0</v>
      </c>
      <c r="E176" s="149" t="s">
        <v>297</v>
      </c>
      <c r="I176" s="104"/>
    </row>
    <row r="177" spans="1:9" s="105" customFormat="1" x14ac:dyDescent="0.2">
      <c r="B177" s="197" t="s">
        <v>365</v>
      </c>
      <c r="C177" s="198"/>
      <c r="D177" s="144">
        <v>3</v>
      </c>
      <c r="E177" s="145" t="s">
        <v>426</v>
      </c>
      <c r="G177" s="173"/>
      <c r="H177" s="170"/>
      <c r="I177" s="112"/>
    </row>
    <row r="178" spans="1:9" s="105" customFormat="1" ht="13.5" thickBot="1" x14ac:dyDescent="0.25">
      <c r="B178" s="195" t="s">
        <v>366</v>
      </c>
      <c r="C178" s="196"/>
      <c r="D178" s="144">
        <v>0</v>
      </c>
      <c r="E178" s="145" t="s">
        <v>427</v>
      </c>
      <c r="G178" s="173"/>
      <c r="H178" s="170"/>
      <c r="I178" s="112"/>
    </row>
    <row r="179" spans="1:9" ht="26.25" customHeight="1" thickBot="1" x14ac:dyDescent="0.25">
      <c r="A179" s="105"/>
      <c r="B179" s="199" t="s">
        <v>474</v>
      </c>
      <c r="C179" s="200"/>
      <c r="D179" s="200"/>
      <c r="E179" s="201"/>
      <c r="I179" s="104"/>
    </row>
    <row r="180" spans="1:9" x14ac:dyDescent="0.2">
      <c r="A180" s="105"/>
      <c r="B180" s="135" t="s">
        <v>18</v>
      </c>
      <c r="C180" s="105"/>
      <c r="D180" s="140"/>
      <c r="E180" s="134"/>
      <c r="I180" s="104"/>
    </row>
    <row r="181" spans="1:9" x14ac:dyDescent="0.2">
      <c r="A181" s="105"/>
      <c r="B181" s="146"/>
      <c r="C181" s="193" t="s">
        <v>24</v>
      </c>
      <c r="D181" s="193"/>
      <c r="E181" s="193"/>
      <c r="I181" s="104"/>
    </row>
    <row r="182" spans="1:9" x14ac:dyDescent="0.2">
      <c r="A182" s="105"/>
      <c r="B182" s="135" t="s">
        <v>19</v>
      </c>
      <c r="C182" s="150"/>
      <c r="D182" s="150"/>
      <c r="E182" s="147"/>
      <c r="I182" s="104"/>
    </row>
    <row r="183" spans="1:9" x14ac:dyDescent="0.2">
      <c r="A183" s="105"/>
      <c r="B183" s="146"/>
      <c r="C183" s="193" t="s">
        <v>101</v>
      </c>
      <c r="D183" s="193"/>
      <c r="E183" s="193"/>
      <c r="I183" s="104"/>
    </row>
    <row r="184" spans="1:9" x14ac:dyDescent="0.2">
      <c r="A184" s="105"/>
      <c r="B184" s="135" t="s">
        <v>20</v>
      </c>
      <c r="C184" s="105"/>
      <c r="D184" s="140"/>
      <c r="E184" s="134"/>
      <c r="I184" s="104"/>
    </row>
    <row r="185" spans="1:9" x14ac:dyDescent="0.2">
      <c r="A185" s="105"/>
      <c r="B185" s="135"/>
      <c r="C185" s="194" t="s">
        <v>25</v>
      </c>
      <c r="D185" s="194"/>
      <c r="E185" s="194"/>
      <c r="I185" s="104"/>
    </row>
    <row r="186" spans="1:9" ht="13.5" thickBot="1" x14ac:dyDescent="0.25">
      <c r="A186" s="105"/>
      <c r="B186" s="136"/>
      <c r="C186" s="137"/>
      <c r="D186" s="138"/>
      <c r="E186" s="139"/>
      <c r="I186" s="104"/>
    </row>
    <row r="187" spans="1:9" ht="13.5" thickBot="1" x14ac:dyDescent="0.25">
      <c r="A187" s="105"/>
      <c r="B187" s="105"/>
      <c r="C187" s="105"/>
      <c r="D187" s="140"/>
      <c r="E187" s="105"/>
      <c r="I187" s="104"/>
    </row>
    <row r="188" spans="1:9" x14ac:dyDescent="0.2">
      <c r="A188" s="105"/>
      <c r="B188" s="130" t="s">
        <v>104</v>
      </c>
      <c r="C188" s="131"/>
      <c r="D188" s="132"/>
      <c r="E188" s="133"/>
      <c r="I188" s="104"/>
    </row>
    <row r="189" spans="1:9" x14ac:dyDescent="0.2">
      <c r="A189" s="105"/>
      <c r="B189" s="141"/>
      <c r="C189" s="105"/>
      <c r="D189" s="140"/>
      <c r="E189" s="134"/>
      <c r="I189" s="104"/>
    </row>
    <row r="190" spans="1:9" x14ac:dyDescent="0.2">
      <c r="A190" s="105"/>
      <c r="B190" s="135" t="s">
        <v>16</v>
      </c>
      <c r="C190" s="210" t="s">
        <v>307</v>
      </c>
      <c r="D190" s="210"/>
      <c r="E190" s="211"/>
      <c r="I190" s="104"/>
    </row>
    <row r="191" spans="1:9" x14ac:dyDescent="0.2">
      <c r="A191" s="105"/>
      <c r="B191" s="135"/>
      <c r="C191" s="193"/>
      <c r="D191" s="193"/>
      <c r="E191" s="193"/>
      <c r="I191" s="104"/>
    </row>
    <row r="192" spans="1:9" ht="13.5" thickBot="1" x14ac:dyDescent="0.25">
      <c r="A192" s="105"/>
      <c r="B192" s="135" t="s">
        <v>17</v>
      </c>
      <c r="C192" s="105"/>
      <c r="D192" s="140"/>
      <c r="E192" s="134"/>
      <c r="I192" s="104"/>
    </row>
    <row r="193" spans="1:9" ht="13.5" thickBot="1" x14ac:dyDescent="0.25">
      <c r="A193" s="105"/>
      <c r="B193" s="202" t="s">
        <v>98</v>
      </c>
      <c r="C193" s="203"/>
      <c r="D193" s="203"/>
      <c r="E193" s="204"/>
      <c r="I193" s="104"/>
    </row>
    <row r="194" spans="1:9" ht="13.5" thickBot="1" x14ac:dyDescent="0.25">
      <c r="A194" s="105"/>
      <c r="B194" s="202" t="s">
        <v>264</v>
      </c>
      <c r="C194" s="204"/>
      <c r="D194" s="142" t="s">
        <v>11</v>
      </c>
      <c r="E194" s="142" t="s">
        <v>100</v>
      </c>
      <c r="I194" s="104"/>
    </row>
    <row r="195" spans="1:9" x14ac:dyDescent="0.2">
      <c r="A195" s="105"/>
      <c r="B195" s="205" t="s">
        <v>265</v>
      </c>
      <c r="C195" s="205"/>
      <c r="D195" s="143">
        <v>0</v>
      </c>
      <c r="E195" s="148" t="s">
        <v>293</v>
      </c>
      <c r="I195" s="104"/>
    </row>
    <row r="196" spans="1:9" x14ac:dyDescent="0.2">
      <c r="A196" s="105"/>
      <c r="B196" s="206" t="s">
        <v>266</v>
      </c>
      <c r="C196" s="206"/>
      <c r="D196" s="144">
        <v>0</v>
      </c>
      <c r="E196" s="149" t="s">
        <v>295</v>
      </c>
      <c r="I196" s="104"/>
    </row>
    <row r="197" spans="1:9" x14ac:dyDescent="0.2">
      <c r="A197" s="105"/>
      <c r="B197" s="206" t="s">
        <v>267</v>
      </c>
      <c r="C197" s="206"/>
      <c r="D197" s="144">
        <v>0</v>
      </c>
      <c r="E197" s="149" t="s">
        <v>296</v>
      </c>
      <c r="I197" s="104"/>
    </row>
    <row r="198" spans="1:9" x14ac:dyDescent="0.2">
      <c r="A198" s="105"/>
      <c r="B198" s="206" t="s">
        <v>269</v>
      </c>
      <c r="C198" s="206"/>
      <c r="D198" s="144">
        <v>9</v>
      </c>
      <c r="E198" s="149" t="s">
        <v>294</v>
      </c>
      <c r="I198" s="104"/>
    </row>
    <row r="199" spans="1:9" x14ac:dyDescent="0.2">
      <c r="A199" s="105"/>
      <c r="B199" s="206" t="s">
        <v>270</v>
      </c>
      <c r="C199" s="206"/>
      <c r="D199" s="144">
        <v>0</v>
      </c>
      <c r="E199" s="145" t="s">
        <v>360</v>
      </c>
      <c r="I199" s="104"/>
    </row>
    <row r="200" spans="1:9" x14ac:dyDescent="0.2">
      <c r="A200" s="105"/>
      <c r="B200" s="195" t="s">
        <v>268</v>
      </c>
      <c r="C200" s="196"/>
      <c r="D200" s="144">
        <v>3</v>
      </c>
      <c r="E200" s="149" t="s">
        <v>297</v>
      </c>
      <c r="I200" s="104"/>
    </row>
    <row r="201" spans="1:9" s="105" customFormat="1" x14ac:dyDescent="0.2">
      <c r="B201" s="197" t="s">
        <v>365</v>
      </c>
      <c r="C201" s="198"/>
      <c r="D201" s="144">
        <v>3</v>
      </c>
      <c r="E201" s="145" t="s">
        <v>426</v>
      </c>
      <c r="G201" s="173"/>
      <c r="H201" s="170"/>
      <c r="I201" s="112"/>
    </row>
    <row r="202" spans="1:9" s="105" customFormat="1" ht="13.5" thickBot="1" x14ac:dyDescent="0.25">
      <c r="B202" s="195" t="s">
        <v>366</v>
      </c>
      <c r="C202" s="196"/>
      <c r="D202" s="144">
        <v>0</v>
      </c>
      <c r="E202" s="145" t="s">
        <v>427</v>
      </c>
      <c r="G202" s="173"/>
      <c r="H202" s="170"/>
      <c r="I202" s="112"/>
    </row>
    <row r="203" spans="1:9" ht="26.25" customHeight="1" thickBot="1" x14ac:dyDescent="0.25">
      <c r="A203" s="105"/>
      <c r="B203" s="199" t="s">
        <v>410</v>
      </c>
      <c r="C203" s="200"/>
      <c r="D203" s="200"/>
      <c r="E203" s="201"/>
      <c r="I203" s="104"/>
    </row>
    <row r="204" spans="1:9" x14ac:dyDescent="0.2">
      <c r="A204" s="105"/>
      <c r="B204" s="135" t="s">
        <v>18</v>
      </c>
      <c r="C204" s="105"/>
      <c r="D204" s="140"/>
      <c r="E204" s="134"/>
      <c r="I204" s="104"/>
    </row>
    <row r="205" spans="1:9" x14ac:dyDescent="0.2">
      <c r="A205" s="105"/>
      <c r="B205" s="146"/>
      <c r="C205" s="193" t="s">
        <v>24</v>
      </c>
      <c r="D205" s="193"/>
      <c r="E205" s="193"/>
      <c r="I205" s="104"/>
    </row>
    <row r="206" spans="1:9" x14ac:dyDescent="0.2">
      <c r="A206" s="105"/>
      <c r="B206" s="135" t="s">
        <v>19</v>
      </c>
      <c r="C206" s="150"/>
      <c r="D206" s="150"/>
      <c r="E206" s="147"/>
      <c r="I206" s="104"/>
    </row>
    <row r="207" spans="1:9" x14ac:dyDescent="0.2">
      <c r="A207" s="105"/>
      <c r="B207" s="146"/>
      <c r="C207" s="193" t="s">
        <v>101</v>
      </c>
      <c r="D207" s="193"/>
      <c r="E207" s="193"/>
      <c r="I207" s="104"/>
    </row>
    <row r="208" spans="1:9" x14ac:dyDescent="0.2">
      <c r="A208" s="105"/>
      <c r="B208" s="135" t="s">
        <v>20</v>
      </c>
      <c r="C208" s="105"/>
      <c r="D208" s="140"/>
      <c r="E208" s="134"/>
      <c r="I208" s="104"/>
    </row>
    <row r="209" spans="1:9" x14ac:dyDescent="0.2">
      <c r="A209" s="105"/>
      <c r="B209" s="135"/>
      <c r="C209" s="194" t="s">
        <v>25</v>
      </c>
      <c r="D209" s="194"/>
      <c r="E209" s="194"/>
      <c r="I209" s="104"/>
    </row>
    <row r="210" spans="1:9" ht="13.5" thickBot="1" x14ac:dyDescent="0.25">
      <c r="A210" s="105"/>
      <c r="B210" s="136"/>
      <c r="C210" s="137"/>
      <c r="D210" s="138"/>
      <c r="E210" s="139"/>
      <c r="I210" s="104"/>
    </row>
    <row r="211" spans="1:9" ht="13.5" thickBot="1" x14ac:dyDescent="0.25">
      <c r="A211" s="105"/>
      <c r="B211" s="105"/>
      <c r="C211" s="105"/>
      <c r="D211" s="140"/>
      <c r="E211" s="105"/>
      <c r="I211" s="104"/>
    </row>
    <row r="212" spans="1:9" x14ac:dyDescent="0.2">
      <c r="A212" s="105"/>
      <c r="B212" s="130" t="s">
        <v>105</v>
      </c>
      <c r="C212" s="131"/>
      <c r="D212" s="132"/>
      <c r="E212" s="133"/>
      <c r="I212" s="104"/>
    </row>
    <row r="213" spans="1:9" x14ac:dyDescent="0.2">
      <c r="A213" s="105"/>
      <c r="B213" s="141"/>
      <c r="C213" s="105"/>
      <c r="D213" s="140"/>
      <c r="E213" s="134"/>
      <c r="I213" s="104"/>
    </row>
    <row r="214" spans="1:9" x14ac:dyDescent="0.2">
      <c r="A214" s="105"/>
      <c r="B214" s="135" t="s">
        <v>16</v>
      </c>
      <c r="C214" s="210" t="s">
        <v>55</v>
      </c>
      <c r="D214" s="210"/>
      <c r="E214" s="211"/>
      <c r="I214" s="104"/>
    </row>
    <row r="215" spans="1:9" x14ac:dyDescent="0.2">
      <c r="A215" s="105"/>
      <c r="B215" s="135"/>
      <c r="C215" s="193"/>
      <c r="D215" s="193"/>
      <c r="E215" s="193"/>
      <c r="I215" s="104"/>
    </row>
    <row r="216" spans="1:9" ht="13.5" thickBot="1" x14ac:dyDescent="0.25">
      <c r="A216" s="105"/>
      <c r="B216" s="135" t="s">
        <v>17</v>
      </c>
      <c r="C216" s="105"/>
      <c r="D216" s="140"/>
      <c r="E216" s="134"/>
      <c r="I216" s="104"/>
    </row>
    <row r="217" spans="1:9" ht="13.5" thickBot="1" x14ac:dyDescent="0.25">
      <c r="A217" s="105"/>
      <c r="B217" s="202" t="s">
        <v>98</v>
      </c>
      <c r="C217" s="203"/>
      <c r="D217" s="203"/>
      <c r="E217" s="204"/>
      <c r="I217" s="104"/>
    </row>
    <row r="218" spans="1:9" ht="13.5" thickBot="1" x14ac:dyDescent="0.25">
      <c r="A218" s="105"/>
      <c r="B218" s="202" t="s">
        <v>264</v>
      </c>
      <c r="C218" s="204"/>
      <c r="D218" s="142" t="s">
        <v>11</v>
      </c>
      <c r="E218" s="142" t="s">
        <v>100</v>
      </c>
      <c r="I218" s="104"/>
    </row>
    <row r="219" spans="1:9" x14ac:dyDescent="0.2">
      <c r="A219" s="105"/>
      <c r="B219" s="205" t="s">
        <v>265</v>
      </c>
      <c r="C219" s="205"/>
      <c r="D219" s="143">
        <v>7</v>
      </c>
      <c r="E219" s="148" t="s">
        <v>293</v>
      </c>
      <c r="I219" s="104"/>
    </row>
    <row r="220" spans="1:9" x14ac:dyDescent="0.2">
      <c r="A220" s="105"/>
      <c r="B220" s="206" t="s">
        <v>266</v>
      </c>
      <c r="C220" s="206"/>
      <c r="D220" s="144">
        <v>7</v>
      </c>
      <c r="E220" s="149" t="s">
        <v>295</v>
      </c>
      <c r="I220" s="104"/>
    </row>
    <row r="221" spans="1:9" x14ac:dyDescent="0.2">
      <c r="A221" s="105"/>
      <c r="B221" s="206" t="s">
        <v>267</v>
      </c>
      <c r="C221" s="206"/>
      <c r="D221" s="144">
        <v>8</v>
      </c>
      <c r="E221" s="149" t="s">
        <v>296</v>
      </c>
      <c r="I221" s="104"/>
    </row>
    <row r="222" spans="1:9" x14ac:dyDescent="0.2">
      <c r="A222" s="105"/>
      <c r="B222" s="206" t="s">
        <v>269</v>
      </c>
      <c r="C222" s="206"/>
      <c r="D222" s="144">
        <v>7</v>
      </c>
      <c r="E222" s="149" t="s">
        <v>294</v>
      </c>
      <c r="I222" s="104"/>
    </row>
    <row r="223" spans="1:9" x14ac:dyDescent="0.2">
      <c r="A223" s="105"/>
      <c r="B223" s="206" t="s">
        <v>270</v>
      </c>
      <c r="C223" s="206"/>
      <c r="D223" s="144">
        <v>0</v>
      </c>
      <c r="E223" s="145" t="s">
        <v>360</v>
      </c>
      <c r="I223" s="104"/>
    </row>
    <row r="224" spans="1:9" x14ac:dyDescent="0.2">
      <c r="A224" s="105"/>
      <c r="B224" s="195" t="s">
        <v>268</v>
      </c>
      <c r="C224" s="196"/>
      <c r="D224" s="144">
        <v>1</v>
      </c>
      <c r="E224" s="149" t="s">
        <v>297</v>
      </c>
      <c r="I224" s="104"/>
    </row>
    <row r="225" spans="1:9" s="105" customFormat="1" x14ac:dyDescent="0.2">
      <c r="B225" s="197" t="s">
        <v>365</v>
      </c>
      <c r="C225" s="198"/>
      <c r="D225" s="144">
        <v>3</v>
      </c>
      <c r="E225" s="145" t="s">
        <v>426</v>
      </c>
      <c r="G225" s="173"/>
      <c r="H225" s="170"/>
      <c r="I225" s="112"/>
    </row>
    <row r="226" spans="1:9" s="105" customFormat="1" ht="13.5" thickBot="1" x14ac:dyDescent="0.25">
      <c r="B226" s="195" t="s">
        <v>366</v>
      </c>
      <c r="C226" s="196"/>
      <c r="D226" s="144">
        <v>3</v>
      </c>
      <c r="E226" s="145" t="s">
        <v>427</v>
      </c>
      <c r="G226" s="173"/>
      <c r="H226" s="170"/>
      <c r="I226" s="112"/>
    </row>
    <row r="227" spans="1:9" ht="26.25" customHeight="1" thickBot="1" x14ac:dyDescent="0.25">
      <c r="A227" s="105"/>
      <c r="B227" s="199" t="s">
        <v>438</v>
      </c>
      <c r="C227" s="200"/>
      <c r="D227" s="200"/>
      <c r="E227" s="201"/>
      <c r="I227" s="104"/>
    </row>
    <row r="228" spans="1:9" x14ac:dyDescent="0.2">
      <c r="A228" s="105"/>
      <c r="B228" s="135" t="s">
        <v>18</v>
      </c>
      <c r="C228" s="105"/>
      <c r="D228" s="140"/>
      <c r="E228" s="134"/>
      <c r="I228" s="104"/>
    </row>
    <row r="229" spans="1:9" x14ac:dyDescent="0.2">
      <c r="A229" s="105"/>
      <c r="B229" s="146"/>
      <c r="C229" s="193" t="s">
        <v>24</v>
      </c>
      <c r="D229" s="193"/>
      <c r="E229" s="193"/>
      <c r="I229" s="104"/>
    </row>
    <row r="230" spans="1:9" x14ac:dyDescent="0.2">
      <c r="A230" s="105"/>
      <c r="B230" s="135" t="s">
        <v>19</v>
      </c>
      <c r="C230" s="150"/>
      <c r="D230" s="150"/>
      <c r="E230" s="147"/>
      <c r="I230" s="104"/>
    </row>
    <row r="231" spans="1:9" x14ac:dyDescent="0.2">
      <c r="A231" s="105"/>
      <c r="B231" s="146"/>
      <c r="C231" s="193" t="s">
        <v>101</v>
      </c>
      <c r="D231" s="193"/>
      <c r="E231" s="193"/>
      <c r="I231" s="104"/>
    </row>
    <row r="232" spans="1:9" x14ac:dyDescent="0.2">
      <c r="A232" s="105"/>
      <c r="B232" s="135" t="s">
        <v>20</v>
      </c>
      <c r="C232" s="105"/>
      <c r="D232" s="140"/>
      <c r="E232" s="134"/>
      <c r="I232" s="104"/>
    </row>
    <row r="233" spans="1:9" x14ac:dyDescent="0.2">
      <c r="A233" s="105"/>
      <c r="B233" s="135"/>
      <c r="C233" s="194" t="s">
        <v>25</v>
      </c>
      <c r="D233" s="194"/>
      <c r="E233" s="194"/>
      <c r="I233" s="104"/>
    </row>
    <row r="234" spans="1:9" ht="13.5" thickBot="1" x14ac:dyDescent="0.25">
      <c r="A234" s="105"/>
      <c r="B234" s="136"/>
      <c r="C234" s="137"/>
      <c r="D234" s="138"/>
      <c r="E234" s="139"/>
      <c r="I234" s="104"/>
    </row>
    <row r="235" spans="1:9" x14ac:dyDescent="0.2">
      <c r="A235" s="105"/>
      <c r="B235" s="105"/>
      <c r="C235" s="105"/>
      <c r="D235" s="140"/>
      <c r="E235" s="105"/>
      <c r="I235" s="104"/>
    </row>
    <row r="236" spans="1:9" ht="13.5" thickBot="1" x14ac:dyDescent="0.25">
      <c r="A236" s="105"/>
      <c r="B236" s="105"/>
      <c r="C236" s="105"/>
      <c r="D236" s="140"/>
      <c r="E236" s="105"/>
      <c r="I236" s="104"/>
    </row>
    <row r="237" spans="1:9" x14ac:dyDescent="0.2">
      <c r="A237" s="105"/>
      <c r="B237" s="130" t="s">
        <v>106</v>
      </c>
      <c r="C237" s="131"/>
      <c r="D237" s="132"/>
      <c r="E237" s="133"/>
      <c r="I237" s="104"/>
    </row>
    <row r="238" spans="1:9" x14ac:dyDescent="0.2">
      <c r="A238" s="105"/>
      <c r="B238" s="141"/>
      <c r="C238" s="105"/>
      <c r="D238" s="140"/>
      <c r="E238" s="134"/>
      <c r="I238" s="104"/>
    </row>
    <row r="239" spans="1:9" x14ac:dyDescent="0.2">
      <c r="A239" s="105"/>
      <c r="B239" s="135" t="s">
        <v>16</v>
      </c>
      <c r="C239" s="210" t="s">
        <v>309</v>
      </c>
      <c r="D239" s="210"/>
      <c r="E239" s="211"/>
      <c r="I239" s="104"/>
    </row>
    <row r="240" spans="1:9" x14ac:dyDescent="0.2">
      <c r="A240" s="105"/>
      <c r="B240" s="135"/>
      <c r="C240" s="193"/>
      <c r="D240" s="193"/>
      <c r="E240" s="193"/>
      <c r="I240" s="104"/>
    </row>
    <row r="241" spans="1:9" ht="13.5" thickBot="1" x14ac:dyDescent="0.25">
      <c r="A241" s="105"/>
      <c r="B241" s="135" t="s">
        <v>17</v>
      </c>
      <c r="C241" s="105"/>
      <c r="D241" s="140"/>
      <c r="E241" s="134"/>
      <c r="I241" s="104"/>
    </row>
    <row r="242" spans="1:9" ht="13.5" thickBot="1" x14ac:dyDescent="0.25">
      <c r="A242" s="105"/>
      <c r="B242" s="202" t="s">
        <v>98</v>
      </c>
      <c r="C242" s="203"/>
      <c r="D242" s="203"/>
      <c r="E242" s="204"/>
      <c r="I242" s="104"/>
    </row>
    <row r="243" spans="1:9" ht="13.5" thickBot="1" x14ac:dyDescent="0.25">
      <c r="A243" s="105"/>
      <c r="B243" s="202" t="s">
        <v>264</v>
      </c>
      <c r="C243" s="204"/>
      <c r="D243" s="142" t="s">
        <v>11</v>
      </c>
      <c r="E243" s="142" t="s">
        <v>100</v>
      </c>
      <c r="I243" s="104"/>
    </row>
    <row r="244" spans="1:9" x14ac:dyDescent="0.2">
      <c r="A244" s="105"/>
      <c r="B244" s="205" t="s">
        <v>265</v>
      </c>
      <c r="C244" s="205"/>
      <c r="D244" s="143">
        <v>6</v>
      </c>
      <c r="E244" s="148" t="s">
        <v>293</v>
      </c>
      <c r="I244" s="104"/>
    </row>
    <row r="245" spans="1:9" x14ac:dyDescent="0.2">
      <c r="A245" s="105"/>
      <c r="B245" s="206" t="s">
        <v>266</v>
      </c>
      <c r="C245" s="206"/>
      <c r="D245" s="144">
        <v>6</v>
      </c>
      <c r="E245" s="149" t="s">
        <v>295</v>
      </c>
      <c r="I245" s="104"/>
    </row>
    <row r="246" spans="1:9" x14ac:dyDescent="0.2">
      <c r="A246" s="105"/>
      <c r="B246" s="206" t="s">
        <v>267</v>
      </c>
      <c r="C246" s="206"/>
      <c r="D246" s="144">
        <v>6</v>
      </c>
      <c r="E246" s="149" t="s">
        <v>296</v>
      </c>
      <c r="I246" s="104"/>
    </row>
    <row r="247" spans="1:9" x14ac:dyDescent="0.2">
      <c r="A247" s="105"/>
      <c r="B247" s="206" t="s">
        <v>269</v>
      </c>
      <c r="C247" s="206"/>
      <c r="D247" s="144">
        <v>0</v>
      </c>
      <c r="E247" s="149" t="s">
        <v>294</v>
      </c>
      <c r="I247" s="104"/>
    </row>
    <row r="248" spans="1:9" x14ac:dyDescent="0.2">
      <c r="A248" s="105"/>
      <c r="B248" s="206" t="s">
        <v>270</v>
      </c>
      <c r="C248" s="206"/>
      <c r="D248" s="144">
        <v>0</v>
      </c>
      <c r="E248" s="145" t="s">
        <v>360</v>
      </c>
      <c r="I248" s="104"/>
    </row>
    <row r="249" spans="1:9" x14ac:dyDescent="0.2">
      <c r="A249" s="105"/>
      <c r="B249" s="195" t="s">
        <v>268</v>
      </c>
      <c r="C249" s="196"/>
      <c r="D249" s="144">
        <v>0</v>
      </c>
      <c r="E249" s="149" t="s">
        <v>297</v>
      </c>
      <c r="I249" s="104"/>
    </row>
    <row r="250" spans="1:9" s="105" customFormat="1" x14ac:dyDescent="0.2">
      <c r="B250" s="197" t="s">
        <v>365</v>
      </c>
      <c r="C250" s="198"/>
      <c r="D250" s="144">
        <v>3</v>
      </c>
      <c r="E250" s="145" t="s">
        <v>426</v>
      </c>
      <c r="G250" s="173"/>
      <c r="H250" s="170"/>
      <c r="I250" s="112"/>
    </row>
    <row r="251" spans="1:9" s="105" customFormat="1" ht="13.5" thickBot="1" x14ac:dyDescent="0.25">
      <c r="B251" s="195" t="s">
        <v>366</v>
      </c>
      <c r="C251" s="196"/>
      <c r="D251" s="144">
        <v>3</v>
      </c>
      <c r="E251" s="145" t="s">
        <v>427</v>
      </c>
      <c r="G251" s="173"/>
      <c r="H251" s="170"/>
      <c r="I251" s="112"/>
    </row>
    <row r="252" spans="1:9" ht="26.25" customHeight="1" thickBot="1" x14ac:dyDescent="0.25">
      <c r="A252" s="105"/>
      <c r="B252" s="199" t="s">
        <v>411</v>
      </c>
      <c r="C252" s="200"/>
      <c r="D252" s="200"/>
      <c r="E252" s="201"/>
      <c r="I252" s="104"/>
    </row>
    <row r="253" spans="1:9" x14ac:dyDescent="0.2">
      <c r="A253" s="105"/>
      <c r="B253" s="135" t="s">
        <v>18</v>
      </c>
      <c r="C253" s="105"/>
      <c r="D253" s="140"/>
      <c r="E253" s="134"/>
      <c r="I253" s="104"/>
    </row>
    <row r="254" spans="1:9" x14ac:dyDescent="0.2">
      <c r="A254" s="105"/>
      <c r="B254" s="146"/>
      <c r="C254" s="193" t="s">
        <v>24</v>
      </c>
      <c r="D254" s="193"/>
      <c r="E254" s="193"/>
      <c r="I254" s="104"/>
    </row>
    <row r="255" spans="1:9" x14ac:dyDescent="0.2">
      <c r="A255" s="105"/>
      <c r="B255" s="135" t="s">
        <v>19</v>
      </c>
      <c r="C255" s="150"/>
      <c r="D255" s="150"/>
      <c r="E255" s="147"/>
      <c r="I255" s="104"/>
    </row>
    <row r="256" spans="1:9" x14ac:dyDescent="0.2">
      <c r="A256" s="105"/>
      <c r="B256" s="146"/>
      <c r="C256" s="193" t="s">
        <v>101</v>
      </c>
      <c r="D256" s="193"/>
      <c r="E256" s="193"/>
      <c r="I256" s="104"/>
    </row>
    <row r="257" spans="1:9" x14ac:dyDescent="0.2">
      <c r="A257" s="105"/>
      <c r="B257" s="135" t="s">
        <v>20</v>
      </c>
      <c r="C257" s="105"/>
      <c r="D257" s="140"/>
      <c r="E257" s="134"/>
      <c r="I257" s="104"/>
    </row>
    <row r="258" spans="1:9" x14ac:dyDescent="0.2">
      <c r="A258" s="105"/>
      <c r="B258" s="135"/>
      <c r="C258" s="194" t="s">
        <v>25</v>
      </c>
      <c r="D258" s="194"/>
      <c r="E258" s="194"/>
      <c r="I258" s="104"/>
    </row>
    <row r="259" spans="1:9" ht="13.5" thickBot="1" x14ac:dyDescent="0.25">
      <c r="A259" s="105"/>
      <c r="B259" s="136"/>
      <c r="C259" s="137"/>
      <c r="D259" s="138"/>
      <c r="E259" s="139"/>
      <c r="I259" s="104"/>
    </row>
    <row r="260" spans="1:9" ht="13.5" thickBot="1" x14ac:dyDescent="0.25">
      <c r="A260" s="105"/>
      <c r="B260" s="105"/>
      <c r="C260" s="105"/>
      <c r="D260" s="140"/>
      <c r="E260" s="105"/>
      <c r="I260" s="104"/>
    </row>
    <row r="261" spans="1:9" x14ac:dyDescent="0.2">
      <c r="A261" s="105"/>
      <c r="B261" s="130" t="s">
        <v>107</v>
      </c>
      <c r="C261" s="131"/>
      <c r="D261" s="132"/>
      <c r="E261" s="133"/>
      <c r="I261" s="104"/>
    </row>
    <row r="262" spans="1:9" x14ac:dyDescent="0.2">
      <c r="A262" s="105"/>
      <c r="B262" s="141"/>
      <c r="C262" s="105"/>
      <c r="D262" s="140"/>
      <c r="E262" s="134"/>
      <c r="I262" s="104"/>
    </row>
    <row r="263" spans="1:9" x14ac:dyDescent="0.2">
      <c r="A263" s="105"/>
      <c r="B263" s="135" t="s">
        <v>16</v>
      </c>
      <c r="C263" s="210" t="s">
        <v>311</v>
      </c>
      <c r="D263" s="210"/>
      <c r="E263" s="211"/>
      <c r="I263" s="104"/>
    </row>
    <row r="264" spans="1:9" x14ac:dyDescent="0.2">
      <c r="A264" s="105"/>
      <c r="B264" s="135"/>
      <c r="C264" s="193"/>
      <c r="D264" s="193"/>
      <c r="E264" s="193"/>
      <c r="I264" s="104"/>
    </row>
    <row r="265" spans="1:9" ht="13.5" thickBot="1" x14ac:dyDescent="0.25">
      <c r="A265" s="105"/>
      <c r="B265" s="135" t="s">
        <v>17</v>
      </c>
      <c r="C265" s="105"/>
      <c r="D265" s="140"/>
      <c r="E265" s="134"/>
      <c r="I265" s="104"/>
    </row>
    <row r="266" spans="1:9" ht="13.5" thickBot="1" x14ac:dyDescent="0.25">
      <c r="A266" s="105"/>
      <c r="B266" s="202" t="s">
        <v>98</v>
      </c>
      <c r="C266" s="203"/>
      <c r="D266" s="203"/>
      <c r="E266" s="204"/>
      <c r="I266" s="104"/>
    </row>
    <row r="267" spans="1:9" ht="12.75" customHeight="1" thickBot="1" x14ac:dyDescent="0.25">
      <c r="A267" s="105"/>
      <c r="B267" s="202" t="s">
        <v>264</v>
      </c>
      <c r="C267" s="204"/>
      <c r="D267" s="142" t="s">
        <v>11</v>
      </c>
      <c r="E267" s="142" t="s">
        <v>100</v>
      </c>
      <c r="I267" s="104"/>
    </row>
    <row r="268" spans="1:9" x14ac:dyDescent="0.2">
      <c r="A268" s="105"/>
      <c r="B268" s="205" t="s">
        <v>265</v>
      </c>
      <c r="C268" s="205"/>
      <c r="D268" s="143">
        <v>0</v>
      </c>
      <c r="E268" s="148" t="s">
        <v>293</v>
      </c>
      <c r="I268" s="104"/>
    </row>
    <row r="269" spans="1:9" x14ac:dyDescent="0.2">
      <c r="A269" s="105"/>
      <c r="B269" s="206" t="s">
        <v>266</v>
      </c>
      <c r="C269" s="206"/>
      <c r="D269" s="144">
        <v>5</v>
      </c>
      <c r="E269" s="149" t="s">
        <v>295</v>
      </c>
      <c r="I269" s="104"/>
    </row>
    <row r="270" spans="1:9" x14ac:dyDescent="0.2">
      <c r="A270" s="105"/>
      <c r="B270" s="206" t="s">
        <v>267</v>
      </c>
      <c r="C270" s="206"/>
      <c r="D270" s="144">
        <v>2</v>
      </c>
      <c r="E270" s="149" t="s">
        <v>296</v>
      </c>
      <c r="I270" s="104"/>
    </row>
    <row r="271" spans="1:9" x14ac:dyDescent="0.2">
      <c r="A271" s="105"/>
      <c r="B271" s="206" t="s">
        <v>269</v>
      </c>
      <c r="C271" s="206"/>
      <c r="D271" s="144">
        <v>2</v>
      </c>
      <c r="E271" s="149" t="s">
        <v>294</v>
      </c>
      <c r="I271" s="104"/>
    </row>
    <row r="272" spans="1:9" x14ac:dyDescent="0.2">
      <c r="A272" s="105"/>
      <c r="B272" s="206" t="s">
        <v>270</v>
      </c>
      <c r="C272" s="206"/>
      <c r="D272" s="144">
        <v>0</v>
      </c>
      <c r="E272" s="145" t="s">
        <v>360</v>
      </c>
      <c r="I272" s="104"/>
    </row>
    <row r="273" spans="1:9" x14ac:dyDescent="0.2">
      <c r="A273" s="105"/>
      <c r="B273" s="195" t="s">
        <v>268</v>
      </c>
      <c r="C273" s="196"/>
      <c r="D273" s="144">
        <v>0</v>
      </c>
      <c r="E273" s="149" t="s">
        <v>297</v>
      </c>
      <c r="I273" s="104"/>
    </row>
    <row r="274" spans="1:9" s="105" customFormat="1" x14ac:dyDescent="0.2">
      <c r="B274" s="197" t="s">
        <v>365</v>
      </c>
      <c r="C274" s="198"/>
      <c r="D274" s="144">
        <v>0</v>
      </c>
      <c r="E274" s="145" t="s">
        <v>426</v>
      </c>
      <c r="G274" s="173"/>
      <c r="H274" s="170"/>
      <c r="I274" s="112"/>
    </row>
    <row r="275" spans="1:9" s="105" customFormat="1" ht="13.5" thickBot="1" x14ac:dyDescent="0.25">
      <c r="B275" s="195" t="s">
        <v>366</v>
      </c>
      <c r="C275" s="196"/>
      <c r="D275" s="144">
        <v>0</v>
      </c>
      <c r="E275" s="145" t="s">
        <v>427</v>
      </c>
      <c r="G275" s="173"/>
      <c r="H275" s="170"/>
      <c r="I275" s="112"/>
    </row>
    <row r="276" spans="1:9" ht="26.25" customHeight="1" thickBot="1" x14ac:dyDescent="0.25">
      <c r="A276" s="105"/>
      <c r="B276" s="199" t="s">
        <v>460</v>
      </c>
      <c r="C276" s="200"/>
      <c r="D276" s="200"/>
      <c r="E276" s="201"/>
      <c r="I276" s="104"/>
    </row>
    <row r="277" spans="1:9" x14ac:dyDescent="0.2">
      <c r="A277" s="105"/>
      <c r="B277" s="135" t="s">
        <v>18</v>
      </c>
      <c r="C277" s="105"/>
      <c r="D277" s="140"/>
      <c r="E277" s="134"/>
      <c r="I277" s="104"/>
    </row>
    <row r="278" spans="1:9" x14ac:dyDescent="0.2">
      <c r="A278" s="105"/>
      <c r="B278" s="146"/>
      <c r="C278" s="193" t="s">
        <v>24</v>
      </c>
      <c r="D278" s="193"/>
      <c r="E278" s="193"/>
      <c r="I278" s="104"/>
    </row>
    <row r="279" spans="1:9" x14ac:dyDescent="0.2">
      <c r="A279" s="105"/>
      <c r="B279" s="135" t="s">
        <v>19</v>
      </c>
      <c r="C279" s="150"/>
      <c r="D279" s="150"/>
      <c r="E279" s="147"/>
      <c r="I279" s="104"/>
    </row>
    <row r="280" spans="1:9" x14ac:dyDescent="0.2">
      <c r="A280" s="105"/>
      <c r="B280" s="146"/>
      <c r="C280" s="193" t="s">
        <v>101</v>
      </c>
      <c r="D280" s="193"/>
      <c r="E280" s="193"/>
      <c r="I280" s="104"/>
    </row>
    <row r="281" spans="1:9" x14ac:dyDescent="0.2">
      <c r="A281" s="105"/>
      <c r="B281" s="135" t="s">
        <v>20</v>
      </c>
      <c r="C281" s="105"/>
      <c r="D281" s="140"/>
      <c r="E281" s="134"/>
      <c r="I281" s="104"/>
    </row>
    <row r="282" spans="1:9" x14ac:dyDescent="0.2">
      <c r="A282" s="105"/>
      <c r="B282" s="135"/>
      <c r="C282" s="194" t="s">
        <v>25</v>
      </c>
      <c r="D282" s="194"/>
      <c r="E282" s="194"/>
      <c r="I282" s="104"/>
    </row>
    <row r="283" spans="1:9" ht="13.5" thickBot="1" x14ac:dyDescent="0.25">
      <c r="A283" s="105"/>
      <c r="B283" s="136"/>
      <c r="C283" s="137"/>
      <c r="D283" s="138"/>
      <c r="E283" s="139"/>
      <c r="I283" s="104"/>
    </row>
    <row r="284" spans="1:9" ht="13.5" thickBot="1" x14ac:dyDescent="0.25">
      <c r="A284" s="105"/>
      <c r="B284" s="105"/>
      <c r="C284" s="105"/>
      <c r="D284" s="140"/>
      <c r="E284" s="105"/>
      <c r="I284" s="104"/>
    </row>
    <row r="285" spans="1:9" x14ac:dyDescent="0.2">
      <c r="A285" s="105"/>
      <c r="B285" s="130" t="s">
        <v>108</v>
      </c>
      <c r="C285" s="131"/>
      <c r="D285" s="132"/>
      <c r="E285" s="133"/>
      <c r="I285" s="104"/>
    </row>
    <row r="286" spans="1:9" x14ac:dyDescent="0.2">
      <c r="A286" s="105"/>
      <c r="B286" s="141"/>
      <c r="C286" s="105"/>
      <c r="D286" s="140"/>
      <c r="E286" s="134"/>
      <c r="I286" s="104"/>
    </row>
    <row r="287" spans="1:9" x14ac:dyDescent="0.2">
      <c r="A287" s="105"/>
      <c r="B287" s="135" t="s">
        <v>16</v>
      </c>
      <c r="C287" s="105"/>
      <c r="D287" s="140"/>
      <c r="E287" s="134"/>
      <c r="I287" s="104"/>
    </row>
    <row r="288" spans="1:9" x14ac:dyDescent="0.2">
      <c r="A288" s="105"/>
      <c r="B288" s="135"/>
      <c r="C288" s="207" t="s">
        <v>457</v>
      </c>
      <c r="D288" s="207"/>
      <c r="E288" s="207"/>
      <c r="I288" s="104"/>
    </row>
    <row r="289" spans="1:9" ht="13.5" thickBot="1" x14ac:dyDescent="0.25">
      <c r="A289" s="105"/>
      <c r="B289" s="135" t="s">
        <v>17</v>
      </c>
      <c r="C289" s="105"/>
      <c r="D289" s="140"/>
      <c r="E289" s="134"/>
      <c r="I289" s="104"/>
    </row>
    <row r="290" spans="1:9" ht="13.5" thickBot="1" x14ac:dyDescent="0.25">
      <c r="A290" s="105"/>
      <c r="B290" s="202" t="s">
        <v>98</v>
      </c>
      <c r="C290" s="203"/>
      <c r="D290" s="203"/>
      <c r="E290" s="204"/>
      <c r="I290" s="104"/>
    </row>
    <row r="291" spans="1:9" ht="13.5" thickBot="1" x14ac:dyDescent="0.25">
      <c r="A291" s="105"/>
      <c r="B291" s="202" t="s">
        <v>264</v>
      </c>
      <c r="C291" s="204"/>
      <c r="D291" s="142" t="s">
        <v>11</v>
      </c>
      <c r="E291" s="142" t="s">
        <v>100</v>
      </c>
      <c r="I291" s="104"/>
    </row>
    <row r="292" spans="1:9" x14ac:dyDescent="0.2">
      <c r="A292" s="105"/>
      <c r="B292" s="205" t="s">
        <v>265</v>
      </c>
      <c r="C292" s="205"/>
      <c r="D292" s="143">
        <v>0</v>
      </c>
      <c r="E292" s="148" t="s">
        <v>293</v>
      </c>
      <c r="I292" s="104"/>
    </row>
    <row r="293" spans="1:9" x14ac:dyDescent="0.2">
      <c r="A293" s="105"/>
      <c r="B293" s="206" t="s">
        <v>266</v>
      </c>
      <c r="C293" s="206"/>
      <c r="D293" s="144">
        <v>0</v>
      </c>
      <c r="E293" s="149" t="s">
        <v>295</v>
      </c>
      <c r="I293" s="104"/>
    </row>
    <row r="294" spans="1:9" x14ac:dyDescent="0.2">
      <c r="A294" s="105"/>
      <c r="B294" s="206" t="s">
        <v>267</v>
      </c>
      <c r="C294" s="206"/>
      <c r="D294" s="144">
        <v>5</v>
      </c>
      <c r="E294" s="149" t="s">
        <v>296</v>
      </c>
      <c r="I294" s="104"/>
    </row>
    <row r="295" spans="1:9" x14ac:dyDescent="0.2">
      <c r="A295" s="105"/>
      <c r="B295" s="206" t="s">
        <v>269</v>
      </c>
      <c r="C295" s="206"/>
      <c r="D295" s="144">
        <v>10</v>
      </c>
      <c r="E295" s="149" t="s">
        <v>294</v>
      </c>
      <c r="I295" s="104"/>
    </row>
    <row r="296" spans="1:9" x14ac:dyDescent="0.2">
      <c r="A296" s="105"/>
      <c r="B296" s="206" t="s">
        <v>270</v>
      </c>
      <c r="C296" s="206"/>
      <c r="D296" s="144">
        <v>0</v>
      </c>
      <c r="E296" s="145" t="s">
        <v>360</v>
      </c>
      <c r="I296" s="104"/>
    </row>
    <row r="297" spans="1:9" x14ac:dyDescent="0.2">
      <c r="A297" s="105"/>
      <c r="B297" s="195" t="s">
        <v>268</v>
      </c>
      <c r="C297" s="196"/>
      <c r="D297" s="144">
        <v>0</v>
      </c>
      <c r="E297" s="149" t="s">
        <v>297</v>
      </c>
      <c r="I297" s="104"/>
    </row>
    <row r="298" spans="1:9" s="105" customFormat="1" x14ac:dyDescent="0.2">
      <c r="B298" s="197" t="s">
        <v>365</v>
      </c>
      <c r="C298" s="198"/>
      <c r="D298" s="144">
        <v>2</v>
      </c>
      <c r="E298" s="145" t="s">
        <v>426</v>
      </c>
      <c r="G298" s="173"/>
      <c r="H298" s="170"/>
      <c r="I298" s="112"/>
    </row>
    <row r="299" spans="1:9" s="105" customFormat="1" ht="13.5" thickBot="1" x14ac:dyDescent="0.25">
      <c r="B299" s="195" t="s">
        <v>366</v>
      </c>
      <c r="C299" s="196"/>
      <c r="D299" s="144">
        <v>2</v>
      </c>
      <c r="E299" s="145" t="s">
        <v>427</v>
      </c>
      <c r="G299" s="173"/>
      <c r="H299" s="170"/>
      <c r="I299" s="112"/>
    </row>
    <row r="300" spans="1:9" ht="26.25" customHeight="1" thickBot="1" x14ac:dyDescent="0.25">
      <c r="A300" s="105"/>
      <c r="B300" s="199" t="s">
        <v>363</v>
      </c>
      <c r="C300" s="200"/>
      <c r="D300" s="200"/>
      <c r="E300" s="201"/>
      <c r="I300" s="104"/>
    </row>
    <row r="301" spans="1:9" x14ac:dyDescent="0.2">
      <c r="A301" s="105"/>
      <c r="B301" s="135" t="s">
        <v>18</v>
      </c>
      <c r="C301" s="105"/>
      <c r="D301" s="140"/>
      <c r="E301" s="134"/>
      <c r="I301" s="104"/>
    </row>
    <row r="302" spans="1:9" x14ac:dyDescent="0.2">
      <c r="A302" s="105"/>
      <c r="B302" s="146"/>
      <c r="C302" s="193" t="s">
        <v>24</v>
      </c>
      <c r="D302" s="193"/>
      <c r="E302" s="193"/>
      <c r="I302" s="104"/>
    </row>
    <row r="303" spans="1:9" x14ac:dyDescent="0.2">
      <c r="A303" s="105"/>
      <c r="B303" s="135" t="s">
        <v>19</v>
      </c>
      <c r="C303" s="150"/>
      <c r="D303" s="150"/>
      <c r="E303" s="147"/>
      <c r="I303" s="104"/>
    </row>
    <row r="304" spans="1:9" x14ac:dyDescent="0.2">
      <c r="A304" s="105"/>
      <c r="B304" s="146"/>
      <c r="C304" s="193" t="s">
        <v>101</v>
      </c>
      <c r="D304" s="193"/>
      <c r="E304" s="193"/>
      <c r="I304" s="104"/>
    </row>
    <row r="305" spans="1:9" x14ac:dyDescent="0.2">
      <c r="A305" s="105"/>
      <c r="B305" s="135" t="s">
        <v>20</v>
      </c>
      <c r="C305" s="105"/>
      <c r="D305" s="140"/>
      <c r="E305" s="134"/>
      <c r="I305" s="104"/>
    </row>
    <row r="306" spans="1:9" x14ac:dyDescent="0.2">
      <c r="A306" s="105"/>
      <c r="B306" s="135"/>
      <c r="C306" s="194" t="s">
        <v>25</v>
      </c>
      <c r="D306" s="194"/>
      <c r="E306" s="194"/>
      <c r="I306" s="104"/>
    </row>
    <row r="307" spans="1:9" ht="13.5" thickBot="1" x14ac:dyDescent="0.25">
      <c r="A307" s="105"/>
      <c r="B307" s="136"/>
      <c r="C307" s="137"/>
      <c r="D307" s="138"/>
      <c r="E307" s="139"/>
      <c r="I307" s="104"/>
    </row>
    <row r="308" spans="1:9" ht="13.5" thickBot="1" x14ac:dyDescent="0.25">
      <c r="A308" s="105"/>
      <c r="B308" s="105"/>
      <c r="C308" s="105"/>
      <c r="D308" s="140"/>
      <c r="E308" s="105"/>
      <c r="I308" s="104"/>
    </row>
    <row r="309" spans="1:9" x14ac:dyDescent="0.2">
      <c r="A309" s="105"/>
      <c r="B309" s="130" t="s">
        <v>109</v>
      </c>
      <c r="C309" s="131"/>
      <c r="D309" s="132"/>
      <c r="E309" s="133"/>
      <c r="I309" s="104"/>
    </row>
    <row r="310" spans="1:9" x14ac:dyDescent="0.2">
      <c r="A310" s="105"/>
      <c r="B310" s="141"/>
      <c r="C310" s="208"/>
      <c r="D310" s="208"/>
      <c r="E310" s="194"/>
      <c r="I310" s="104"/>
    </row>
    <row r="311" spans="1:9" x14ac:dyDescent="0.2">
      <c r="A311" s="105"/>
      <c r="B311" s="135" t="s">
        <v>16</v>
      </c>
      <c r="C311" s="105"/>
      <c r="D311" s="140"/>
      <c r="E311" s="134"/>
      <c r="I311" s="104"/>
    </row>
    <row r="312" spans="1:9" x14ac:dyDescent="0.2">
      <c r="A312" s="105"/>
      <c r="B312" s="135"/>
      <c r="C312" s="207" t="s">
        <v>461</v>
      </c>
      <c r="D312" s="207"/>
      <c r="E312" s="207"/>
      <c r="I312" s="104"/>
    </row>
    <row r="313" spans="1:9" ht="13.5" thickBot="1" x14ac:dyDescent="0.25">
      <c r="A313" s="105"/>
      <c r="B313" s="135" t="s">
        <v>17</v>
      </c>
      <c r="C313" s="105"/>
      <c r="D313" s="140"/>
      <c r="E313" s="134"/>
      <c r="I313" s="104"/>
    </row>
    <row r="314" spans="1:9" ht="13.5" thickBot="1" x14ac:dyDescent="0.25">
      <c r="A314" s="105"/>
      <c r="B314" s="202" t="s">
        <v>98</v>
      </c>
      <c r="C314" s="203"/>
      <c r="D314" s="203"/>
      <c r="E314" s="204"/>
      <c r="I314" s="104"/>
    </row>
    <row r="315" spans="1:9" ht="13.5" thickBot="1" x14ac:dyDescent="0.25">
      <c r="A315" s="105"/>
      <c r="B315" s="202" t="s">
        <v>264</v>
      </c>
      <c r="C315" s="204"/>
      <c r="D315" s="142" t="s">
        <v>11</v>
      </c>
      <c r="E315" s="142" t="s">
        <v>100</v>
      </c>
      <c r="I315" s="104"/>
    </row>
    <row r="316" spans="1:9" x14ac:dyDescent="0.2">
      <c r="A316" s="105"/>
      <c r="B316" s="205" t="s">
        <v>265</v>
      </c>
      <c r="C316" s="205"/>
      <c r="D316" s="143">
        <v>5</v>
      </c>
      <c r="E316" s="148" t="s">
        <v>293</v>
      </c>
      <c r="I316" s="104"/>
    </row>
    <row r="317" spans="1:9" x14ac:dyDescent="0.2">
      <c r="A317" s="105"/>
      <c r="B317" s="206" t="s">
        <v>266</v>
      </c>
      <c r="C317" s="206"/>
      <c r="D317" s="144">
        <v>3</v>
      </c>
      <c r="E317" s="149" t="s">
        <v>295</v>
      </c>
      <c r="I317" s="104"/>
    </row>
    <row r="318" spans="1:9" x14ac:dyDescent="0.2">
      <c r="A318" s="105"/>
      <c r="B318" s="206" t="s">
        <v>267</v>
      </c>
      <c r="C318" s="206"/>
      <c r="D318" s="144">
        <v>3</v>
      </c>
      <c r="E318" s="149" t="s">
        <v>296</v>
      </c>
      <c r="I318" s="104"/>
    </row>
    <row r="319" spans="1:9" x14ac:dyDescent="0.2">
      <c r="A319" s="105"/>
      <c r="B319" s="206" t="s">
        <v>269</v>
      </c>
      <c r="C319" s="206"/>
      <c r="D319" s="144">
        <v>6</v>
      </c>
      <c r="E319" s="149" t="s">
        <v>294</v>
      </c>
      <c r="I319" s="104"/>
    </row>
    <row r="320" spans="1:9" x14ac:dyDescent="0.2">
      <c r="A320" s="105"/>
      <c r="B320" s="206" t="s">
        <v>270</v>
      </c>
      <c r="C320" s="206"/>
      <c r="D320" s="144">
        <v>0</v>
      </c>
      <c r="E320" s="145" t="s">
        <v>360</v>
      </c>
      <c r="I320" s="104"/>
    </row>
    <row r="321" spans="1:9" x14ac:dyDescent="0.2">
      <c r="A321" s="105"/>
      <c r="B321" s="195" t="s">
        <v>268</v>
      </c>
      <c r="C321" s="196"/>
      <c r="D321" s="144">
        <v>2</v>
      </c>
      <c r="E321" s="149" t="s">
        <v>297</v>
      </c>
      <c r="I321" s="104"/>
    </row>
    <row r="322" spans="1:9" s="105" customFormat="1" x14ac:dyDescent="0.2">
      <c r="B322" s="197" t="s">
        <v>365</v>
      </c>
      <c r="C322" s="198"/>
      <c r="D322" s="144">
        <v>2</v>
      </c>
      <c r="E322" s="145" t="s">
        <v>426</v>
      </c>
      <c r="G322" s="173"/>
      <c r="H322" s="170"/>
      <c r="I322" s="112"/>
    </row>
    <row r="323" spans="1:9" s="105" customFormat="1" ht="13.5" thickBot="1" x14ac:dyDescent="0.25">
      <c r="B323" s="195" t="s">
        <v>366</v>
      </c>
      <c r="C323" s="196"/>
      <c r="D323" s="144">
        <v>2</v>
      </c>
      <c r="E323" s="145" t="s">
        <v>427</v>
      </c>
      <c r="G323" s="173"/>
      <c r="H323" s="170"/>
      <c r="I323" s="112"/>
    </row>
    <row r="324" spans="1:9" ht="26.25" customHeight="1" thickBot="1" x14ac:dyDescent="0.25">
      <c r="A324" s="105"/>
      <c r="B324" s="199" t="s">
        <v>462</v>
      </c>
      <c r="C324" s="200"/>
      <c r="D324" s="200"/>
      <c r="E324" s="201"/>
      <c r="I324" s="104"/>
    </row>
    <row r="325" spans="1:9" x14ac:dyDescent="0.2">
      <c r="A325" s="105"/>
      <c r="B325" s="135" t="s">
        <v>18</v>
      </c>
      <c r="C325" s="105"/>
      <c r="D325" s="140"/>
      <c r="E325" s="134"/>
      <c r="I325" s="104"/>
    </row>
    <row r="326" spans="1:9" x14ac:dyDescent="0.2">
      <c r="A326" s="105"/>
      <c r="B326" s="146"/>
      <c r="C326" s="193" t="s">
        <v>24</v>
      </c>
      <c r="D326" s="193"/>
      <c r="E326" s="193"/>
      <c r="I326" s="104"/>
    </row>
    <row r="327" spans="1:9" x14ac:dyDescent="0.2">
      <c r="A327" s="105"/>
      <c r="B327" s="135" t="s">
        <v>19</v>
      </c>
      <c r="C327" s="150"/>
      <c r="D327" s="150"/>
      <c r="E327" s="147"/>
      <c r="I327" s="104"/>
    </row>
    <row r="328" spans="1:9" x14ac:dyDescent="0.2">
      <c r="A328" s="105"/>
      <c r="B328" s="146"/>
      <c r="C328" s="193" t="s">
        <v>101</v>
      </c>
      <c r="D328" s="193"/>
      <c r="E328" s="193"/>
      <c r="I328" s="104"/>
    </row>
    <row r="329" spans="1:9" x14ac:dyDescent="0.2">
      <c r="A329" s="105"/>
      <c r="B329" s="135" t="s">
        <v>20</v>
      </c>
      <c r="C329" s="105"/>
      <c r="D329" s="140"/>
      <c r="E329" s="134"/>
      <c r="I329" s="104"/>
    </row>
    <row r="330" spans="1:9" x14ac:dyDescent="0.2">
      <c r="A330" s="105"/>
      <c r="B330" s="135"/>
      <c r="C330" s="194" t="s">
        <v>25</v>
      </c>
      <c r="D330" s="194"/>
      <c r="E330" s="194"/>
      <c r="I330" s="104"/>
    </row>
    <row r="331" spans="1:9" ht="13.5" thickBot="1" x14ac:dyDescent="0.25">
      <c r="A331" s="105"/>
      <c r="B331" s="136"/>
      <c r="C331" s="137"/>
      <c r="D331" s="138"/>
      <c r="E331" s="139"/>
      <c r="I331" s="104"/>
    </row>
    <row r="332" spans="1:9" ht="13.5" thickBot="1" x14ac:dyDescent="0.25">
      <c r="A332" s="105"/>
      <c r="B332" s="105"/>
      <c r="C332" s="105"/>
      <c r="D332" s="140"/>
      <c r="E332" s="105"/>
      <c r="I332" s="104"/>
    </row>
    <row r="333" spans="1:9" x14ac:dyDescent="0.2">
      <c r="A333" s="105"/>
      <c r="B333" s="130" t="s">
        <v>110</v>
      </c>
      <c r="C333" s="131"/>
      <c r="D333" s="132"/>
      <c r="E333" s="133"/>
      <c r="I333" s="104"/>
    </row>
    <row r="334" spans="1:9" x14ac:dyDescent="0.2">
      <c r="A334" s="105"/>
      <c r="B334" s="141"/>
      <c r="C334" s="105"/>
      <c r="D334" s="140"/>
      <c r="E334" s="134"/>
      <c r="I334" s="104"/>
    </row>
    <row r="335" spans="1:9" x14ac:dyDescent="0.2">
      <c r="A335" s="105"/>
      <c r="B335" s="135" t="s">
        <v>16</v>
      </c>
      <c r="C335" s="210" t="s">
        <v>434</v>
      </c>
      <c r="D335" s="210"/>
      <c r="E335" s="211"/>
      <c r="I335" s="104"/>
    </row>
    <row r="336" spans="1:9" x14ac:dyDescent="0.2">
      <c r="A336" s="105"/>
      <c r="B336" s="135"/>
      <c r="C336" s="193"/>
      <c r="D336" s="193"/>
      <c r="E336" s="193"/>
      <c r="I336" s="104"/>
    </row>
    <row r="337" spans="1:9" ht="13.5" thickBot="1" x14ac:dyDescent="0.25">
      <c r="A337" s="105"/>
      <c r="B337" s="135" t="s">
        <v>17</v>
      </c>
      <c r="C337" s="105"/>
      <c r="D337" s="140"/>
      <c r="E337" s="134"/>
      <c r="I337" s="104"/>
    </row>
    <row r="338" spans="1:9" ht="13.5" thickBot="1" x14ac:dyDescent="0.25">
      <c r="A338" s="105"/>
      <c r="B338" s="202" t="s">
        <v>98</v>
      </c>
      <c r="C338" s="203"/>
      <c r="D338" s="203"/>
      <c r="E338" s="204"/>
      <c r="I338" s="104"/>
    </row>
    <row r="339" spans="1:9" ht="13.5" thickBot="1" x14ac:dyDescent="0.25">
      <c r="A339" s="105"/>
      <c r="B339" s="202" t="s">
        <v>264</v>
      </c>
      <c r="C339" s="204"/>
      <c r="D339" s="142" t="s">
        <v>11</v>
      </c>
      <c r="E339" s="142" t="s">
        <v>100</v>
      </c>
      <c r="I339" s="104"/>
    </row>
    <row r="340" spans="1:9" x14ac:dyDescent="0.2">
      <c r="A340" s="105"/>
      <c r="B340" s="205" t="s">
        <v>265</v>
      </c>
      <c r="C340" s="205"/>
      <c r="D340" s="143">
        <v>2</v>
      </c>
      <c r="E340" s="148" t="s">
        <v>293</v>
      </c>
      <c r="I340" s="104"/>
    </row>
    <row r="341" spans="1:9" x14ac:dyDescent="0.2">
      <c r="A341" s="105"/>
      <c r="B341" s="206" t="s">
        <v>266</v>
      </c>
      <c r="C341" s="206"/>
      <c r="D341" s="144">
        <v>2</v>
      </c>
      <c r="E341" s="149" t="s">
        <v>295</v>
      </c>
      <c r="I341" s="104"/>
    </row>
    <row r="342" spans="1:9" x14ac:dyDescent="0.2">
      <c r="A342" s="105"/>
      <c r="B342" s="206" t="s">
        <v>267</v>
      </c>
      <c r="C342" s="206"/>
      <c r="D342" s="144">
        <v>2</v>
      </c>
      <c r="E342" s="149" t="s">
        <v>296</v>
      </c>
      <c r="I342" s="104"/>
    </row>
    <row r="343" spans="1:9" x14ac:dyDescent="0.2">
      <c r="A343" s="105"/>
      <c r="B343" s="206" t="s">
        <v>269</v>
      </c>
      <c r="C343" s="206"/>
      <c r="D343" s="144">
        <v>2</v>
      </c>
      <c r="E343" s="149" t="s">
        <v>294</v>
      </c>
      <c r="I343" s="104"/>
    </row>
    <row r="344" spans="1:9" x14ac:dyDescent="0.2">
      <c r="A344" s="105"/>
      <c r="B344" s="206" t="s">
        <v>270</v>
      </c>
      <c r="C344" s="206"/>
      <c r="D344" s="144">
        <v>0</v>
      </c>
      <c r="E344" s="145" t="s">
        <v>360</v>
      </c>
      <c r="I344" s="104"/>
    </row>
    <row r="345" spans="1:9" x14ac:dyDescent="0.2">
      <c r="A345" s="105"/>
      <c r="B345" s="195" t="s">
        <v>268</v>
      </c>
      <c r="C345" s="196"/>
      <c r="D345" s="144">
        <v>0</v>
      </c>
      <c r="E345" s="149" t="s">
        <v>297</v>
      </c>
      <c r="I345" s="104"/>
    </row>
    <row r="346" spans="1:9" s="105" customFormat="1" x14ac:dyDescent="0.2">
      <c r="B346" s="197" t="s">
        <v>365</v>
      </c>
      <c r="C346" s="198"/>
      <c r="D346" s="144">
        <v>1</v>
      </c>
      <c r="E346" s="145" t="s">
        <v>426</v>
      </c>
      <c r="G346" s="173"/>
      <c r="H346" s="170"/>
      <c r="I346" s="112"/>
    </row>
    <row r="347" spans="1:9" s="105" customFormat="1" ht="13.5" thickBot="1" x14ac:dyDescent="0.25">
      <c r="B347" s="195" t="s">
        <v>366</v>
      </c>
      <c r="C347" s="196"/>
      <c r="D347" s="144">
        <v>1</v>
      </c>
      <c r="E347" s="145" t="s">
        <v>427</v>
      </c>
      <c r="G347" s="173"/>
      <c r="H347" s="170"/>
      <c r="I347" s="112"/>
    </row>
    <row r="348" spans="1:9" ht="26.25" customHeight="1" thickBot="1" x14ac:dyDescent="0.25">
      <c r="A348" s="105"/>
      <c r="B348" s="199" t="s">
        <v>400</v>
      </c>
      <c r="C348" s="200"/>
      <c r="D348" s="200"/>
      <c r="E348" s="201"/>
      <c r="I348" s="104"/>
    </row>
    <row r="349" spans="1:9" x14ac:dyDescent="0.2">
      <c r="A349" s="105"/>
      <c r="B349" s="135" t="s">
        <v>18</v>
      </c>
      <c r="C349" s="105"/>
      <c r="D349" s="140"/>
      <c r="E349" s="134"/>
      <c r="I349" s="104"/>
    </row>
    <row r="350" spans="1:9" x14ac:dyDescent="0.2">
      <c r="A350" s="105"/>
      <c r="B350" s="146"/>
      <c r="C350" s="193" t="s">
        <v>24</v>
      </c>
      <c r="D350" s="193"/>
      <c r="E350" s="193"/>
      <c r="I350" s="104"/>
    </row>
    <row r="351" spans="1:9" x14ac:dyDescent="0.2">
      <c r="A351" s="105"/>
      <c r="B351" s="135" t="s">
        <v>19</v>
      </c>
      <c r="C351" s="150"/>
      <c r="D351" s="150"/>
      <c r="E351" s="147"/>
      <c r="I351" s="104"/>
    </row>
    <row r="352" spans="1:9" x14ac:dyDescent="0.2">
      <c r="A352" s="105"/>
      <c r="B352" s="146"/>
      <c r="C352" s="193" t="s">
        <v>101</v>
      </c>
      <c r="D352" s="193"/>
      <c r="E352" s="193"/>
      <c r="I352" s="104"/>
    </row>
    <row r="353" spans="1:9" x14ac:dyDescent="0.2">
      <c r="A353" s="105"/>
      <c r="B353" s="135" t="s">
        <v>20</v>
      </c>
      <c r="C353" s="105"/>
      <c r="D353" s="140"/>
      <c r="E353" s="134"/>
      <c r="I353" s="104"/>
    </row>
    <row r="354" spans="1:9" x14ac:dyDescent="0.2">
      <c r="A354" s="105"/>
      <c r="B354" s="135"/>
      <c r="C354" s="194" t="s">
        <v>25</v>
      </c>
      <c r="D354" s="194"/>
      <c r="E354" s="194"/>
      <c r="I354" s="104"/>
    </row>
    <row r="355" spans="1:9" ht="13.5" thickBot="1" x14ac:dyDescent="0.25">
      <c r="A355" s="105"/>
      <c r="B355" s="136"/>
      <c r="C355" s="137"/>
      <c r="D355" s="138"/>
      <c r="E355" s="139"/>
      <c r="I355" s="104"/>
    </row>
    <row r="356" spans="1:9" x14ac:dyDescent="0.2">
      <c r="A356" s="105"/>
      <c r="B356" s="105"/>
      <c r="C356" s="105"/>
      <c r="D356" s="140"/>
      <c r="E356" s="105"/>
      <c r="I356" s="104"/>
    </row>
    <row r="357" spans="1:9" x14ac:dyDescent="0.2">
      <c r="A357" s="105"/>
      <c r="B357" s="105"/>
      <c r="C357" s="105"/>
      <c r="D357" s="140"/>
      <c r="E357" s="105"/>
      <c r="I357" s="104"/>
    </row>
    <row r="358" spans="1:9" ht="13.5" thickBot="1" x14ac:dyDescent="0.25">
      <c r="A358" s="105"/>
      <c r="B358" s="105"/>
      <c r="C358" s="105"/>
      <c r="D358" s="140"/>
      <c r="E358" s="105"/>
      <c r="I358" s="104"/>
    </row>
    <row r="359" spans="1:9" x14ac:dyDescent="0.2">
      <c r="A359" s="105"/>
      <c r="B359" s="130" t="s">
        <v>111</v>
      </c>
      <c r="C359" s="131"/>
      <c r="D359" s="132"/>
      <c r="E359" s="133"/>
      <c r="I359" s="104"/>
    </row>
    <row r="360" spans="1:9" x14ac:dyDescent="0.2">
      <c r="A360" s="105"/>
      <c r="B360" s="141"/>
      <c r="C360" s="105"/>
      <c r="D360" s="140"/>
      <c r="E360" s="134"/>
      <c r="I360" s="104"/>
    </row>
    <row r="361" spans="1:9" x14ac:dyDescent="0.2">
      <c r="A361" s="105"/>
      <c r="B361" s="135" t="s">
        <v>16</v>
      </c>
      <c r="C361" s="105"/>
      <c r="D361" s="140"/>
      <c r="E361" s="134"/>
      <c r="I361" s="104"/>
    </row>
    <row r="362" spans="1:9" x14ac:dyDescent="0.2">
      <c r="A362" s="105"/>
      <c r="B362" s="135"/>
      <c r="C362" s="207" t="s">
        <v>444</v>
      </c>
      <c r="D362" s="207"/>
      <c r="E362" s="207"/>
      <c r="I362" s="104"/>
    </row>
    <row r="363" spans="1:9" ht="13.5" thickBot="1" x14ac:dyDescent="0.25">
      <c r="A363" s="105"/>
      <c r="B363" s="135" t="s">
        <v>17</v>
      </c>
      <c r="C363" s="105"/>
      <c r="D363" s="140"/>
      <c r="E363" s="134"/>
      <c r="I363" s="104"/>
    </row>
    <row r="364" spans="1:9" ht="13.5" thickBot="1" x14ac:dyDescent="0.25">
      <c r="A364" s="105"/>
      <c r="B364" s="202" t="s">
        <v>98</v>
      </c>
      <c r="C364" s="203"/>
      <c r="D364" s="203"/>
      <c r="E364" s="204"/>
      <c r="I364" s="104"/>
    </row>
    <row r="365" spans="1:9" ht="13.5" thickBot="1" x14ac:dyDescent="0.25">
      <c r="A365" s="105"/>
      <c r="B365" s="202" t="s">
        <v>264</v>
      </c>
      <c r="C365" s="204"/>
      <c r="D365" s="142" t="s">
        <v>11</v>
      </c>
      <c r="E365" s="142" t="s">
        <v>100</v>
      </c>
      <c r="I365" s="104"/>
    </row>
    <row r="366" spans="1:9" x14ac:dyDescent="0.2">
      <c r="A366" s="105"/>
      <c r="B366" s="205" t="s">
        <v>265</v>
      </c>
      <c r="C366" s="205"/>
      <c r="D366" s="143">
        <v>4</v>
      </c>
      <c r="E366" s="148" t="s">
        <v>293</v>
      </c>
      <c r="I366" s="104"/>
    </row>
    <row r="367" spans="1:9" x14ac:dyDescent="0.2">
      <c r="A367" s="105"/>
      <c r="B367" s="206" t="s">
        <v>266</v>
      </c>
      <c r="C367" s="206"/>
      <c r="D367" s="144">
        <v>3</v>
      </c>
      <c r="E367" s="149" t="s">
        <v>295</v>
      </c>
      <c r="I367" s="104"/>
    </row>
    <row r="368" spans="1:9" x14ac:dyDescent="0.2">
      <c r="A368" s="105"/>
      <c r="B368" s="206" t="s">
        <v>267</v>
      </c>
      <c r="C368" s="206"/>
      <c r="D368" s="144">
        <v>8</v>
      </c>
      <c r="E368" s="149" t="s">
        <v>296</v>
      </c>
      <c r="I368" s="104"/>
    </row>
    <row r="369" spans="1:9" x14ac:dyDescent="0.2">
      <c r="A369" s="105"/>
      <c r="B369" s="206" t="s">
        <v>269</v>
      </c>
      <c r="C369" s="206"/>
      <c r="D369" s="144">
        <v>0</v>
      </c>
      <c r="E369" s="149" t="s">
        <v>294</v>
      </c>
      <c r="I369" s="104"/>
    </row>
    <row r="370" spans="1:9" x14ac:dyDescent="0.2">
      <c r="A370" s="105"/>
      <c r="B370" s="206" t="s">
        <v>270</v>
      </c>
      <c r="C370" s="206"/>
      <c r="D370" s="144">
        <v>0</v>
      </c>
      <c r="E370" s="145" t="s">
        <v>360</v>
      </c>
      <c r="I370" s="104"/>
    </row>
    <row r="371" spans="1:9" x14ac:dyDescent="0.2">
      <c r="A371" s="105"/>
      <c r="B371" s="195" t="s">
        <v>268</v>
      </c>
      <c r="C371" s="196"/>
      <c r="D371" s="144">
        <v>3</v>
      </c>
      <c r="E371" s="149" t="s">
        <v>297</v>
      </c>
      <c r="I371" s="104"/>
    </row>
    <row r="372" spans="1:9" s="105" customFormat="1" x14ac:dyDescent="0.2">
      <c r="B372" s="197" t="s">
        <v>365</v>
      </c>
      <c r="C372" s="198"/>
      <c r="D372" s="144">
        <v>0</v>
      </c>
      <c r="E372" s="145" t="s">
        <v>426</v>
      </c>
      <c r="G372" s="173"/>
      <c r="H372" s="170"/>
      <c r="I372" s="112"/>
    </row>
    <row r="373" spans="1:9" s="105" customFormat="1" ht="13.5" thickBot="1" x14ac:dyDescent="0.25">
      <c r="B373" s="195" t="s">
        <v>366</v>
      </c>
      <c r="C373" s="196"/>
      <c r="D373" s="144">
        <v>5</v>
      </c>
      <c r="E373" s="145" t="s">
        <v>427</v>
      </c>
      <c r="G373" s="173"/>
      <c r="H373" s="170"/>
      <c r="I373" s="112"/>
    </row>
    <row r="374" spans="1:9" ht="26.25" customHeight="1" thickBot="1" x14ac:dyDescent="0.25">
      <c r="A374" s="105"/>
      <c r="B374" s="199" t="s">
        <v>475</v>
      </c>
      <c r="C374" s="200"/>
      <c r="D374" s="200"/>
      <c r="E374" s="201"/>
      <c r="I374" s="104"/>
    </row>
    <row r="375" spans="1:9" x14ac:dyDescent="0.2">
      <c r="A375" s="105"/>
      <c r="B375" s="135" t="s">
        <v>18</v>
      </c>
      <c r="C375" s="105"/>
      <c r="D375" s="140"/>
      <c r="E375" s="134"/>
      <c r="I375" s="104"/>
    </row>
    <row r="376" spans="1:9" x14ac:dyDescent="0.2">
      <c r="A376" s="105"/>
      <c r="B376" s="146"/>
      <c r="C376" s="193" t="s">
        <v>24</v>
      </c>
      <c r="D376" s="193"/>
      <c r="E376" s="193"/>
      <c r="I376" s="104"/>
    </row>
    <row r="377" spans="1:9" x14ac:dyDescent="0.2">
      <c r="A377" s="105"/>
      <c r="B377" s="135" t="s">
        <v>19</v>
      </c>
      <c r="C377" s="150"/>
      <c r="D377" s="150"/>
      <c r="E377" s="147"/>
      <c r="I377" s="104"/>
    </row>
    <row r="378" spans="1:9" x14ac:dyDescent="0.2">
      <c r="A378" s="105"/>
      <c r="B378" s="146"/>
      <c r="C378" s="193" t="s">
        <v>101</v>
      </c>
      <c r="D378" s="193"/>
      <c r="E378" s="193"/>
      <c r="I378" s="104"/>
    </row>
    <row r="379" spans="1:9" x14ac:dyDescent="0.2">
      <c r="A379" s="105"/>
      <c r="B379" s="135" t="s">
        <v>20</v>
      </c>
      <c r="C379" s="105"/>
      <c r="D379" s="140"/>
      <c r="E379" s="134"/>
      <c r="I379" s="104"/>
    </row>
    <row r="380" spans="1:9" x14ac:dyDescent="0.2">
      <c r="A380" s="105"/>
      <c r="B380" s="135"/>
      <c r="C380" s="194" t="s">
        <v>25</v>
      </c>
      <c r="D380" s="194"/>
      <c r="E380" s="194"/>
      <c r="I380" s="104"/>
    </row>
    <row r="381" spans="1:9" ht="13.5" thickBot="1" x14ac:dyDescent="0.25">
      <c r="A381" s="105"/>
      <c r="B381" s="136"/>
      <c r="C381" s="137"/>
      <c r="D381" s="138"/>
      <c r="E381" s="139"/>
      <c r="I381" s="104"/>
    </row>
    <row r="382" spans="1:9" ht="13.5" thickBot="1" x14ac:dyDescent="0.25">
      <c r="A382" s="105"/>
      <c r="B382" s="105"/>
      <c r="C382" s="105"/>
      <c r="D382" s="140"/>
      <c r="E382" s="105"/>
      <c r="I382" s="104"/>
    </row>
    <row r="383" spans="1:9" x14ac:dyDescent="0.2">
      <c r="A383" s="105"/>
      <c r="B383" s="130" t="s">
        <v>112</v>
      </c>
      <c r="C383" s="131"/>
      <c r="D383" s="132"/>
      <c r="E383" s="133"/>
      <c r="I383" s="104"/>
    </row>
    <row r="384" spans="1:9" x14ac:dyDescent="0.2">
      <c r="A384" s="105"/>
      <c r="B384" s="141"/>
      <c r="C384" s="105"/>
      <c r="D384" s="140"/>
      <c r="E384" s="134"/>
      <c r="I384" s="104"/>
    </row>
    <row r="385" spans="1:9" x14ac:dyDescent="0.2">
      <c r="A385" s="105"/>
      <c r="B385" s="135" t="s">
        <v>16</v>
      </c>
      <c r="C385" s="105"/>
      <c r="D385" s="140"/>
      <c r="E385" s="134"/>
      <c r="I385" s="104"/>
    </row>
    <row r="386" spans="1:9" x14ac:dyDescent="0.2">
      <c r="A386" s="105"/>
      <c r="B386" s="135"/>
      <c r="C386" s="207" t="s">
        <v>445</v>
      </c>
      <c r="D386" s="207"/>
      <c r="E386" s="207"/>
      <c r="I386" s="104"/>
    </row>
    <row r="387" spans="1:9" ht="13.5" thickBot="1" x14ac:dyDescent="0.25">
      <c r="A387" s="105"/>
      <c r="B387" s="135" t="s">
        <v>17</v>
      </c>
      <c r="C387" s="105"/>
      <c r="D387" s="140"/>
      <c r="E387" s="134"/>
      <c r="I387" s="104"/>
    </row>
    <row r="388" spans="1:9" ht="13.5" thickBot="1" x14ac:dyDescent="0.25">
      <c r="A388" s="105"/>
      <c r="B388" s="202" t="s">
        <v>98</v>
      </c>
      <c r="C388" s="203"/>
      <c r="D388" s="203"/>
      <c r="E388" s="204"/>
      <c r="I388" s="104"/>
    </row>
    <row r="389" spans="1:9" ht="13.5" thickBot="1" x14ac:dyDescent="0.25">
      <c r="A389" s="105"/>
      <c r="B389" s="202" t="s">
        <v>264</v>
      </c>
      <c r="C389" s="204"/>
      <c r="D389" s="142" t="s">
        <v>11</v>
      </c>
      <c r="E389" s="142" t="s">
        <v>100</v>
      </c>
      <c r="I389" s="104"/>
    </row>
    <row r="390" spans="1:9" x14ac:dyDescent="0.2">
      <c r="A390" s="105"/>
      <c r="B390" s="205" t="s">
        <v>265</v>
      </c>
      <c r="C390" s="205"/>
      <c r="D390" s="143">
        <v>4</v>
      </c>
      <c r="E390" s="148" t="s">
        <v>293</v>
      </c>
      <c r="I390" s="104"/>
    </row>
    <row r="391" spans="1:9" x14ac:dyDescent="0.2">
      <c r="A391" s="105"/>
      <c r="B391" s="206" t="s">
        <v>266</v>
      </c>
      <c r="C391" s="206"/>
      <c r="D391" s="144">
        <v>7</v>
      </c>
      <c r="E391" s="149" t="s">
        <v>295</v>
      </c>
      <c r="I391" s="104"/>
    </row>
    <row r="392" spans="1:9" x14ac:dyDescent="0.2">
      <c r="A392" s="105"/>
      <c r="B392" s="206" t="s">
        <v>267</v>
      </c>
      <c r="C392" s="206"/>
      <c r="D392" s="144">
        <v>7</v>
      </c>
      <c r="E392" s="149" t="s">
        <v>296</v>
      </c>
      <c r="I392" s="104"/>
    </row>
    <row r="393" spans="1:9" x14ac:dyDescent="0.2">
      <c r="A393" s="105"/>
      <c r="B393" s="206" t="s">
        <v>269</v>
      </c>
      <c r="C393" s="206"/>
      <c r="D393" s="144">
        <v>16</v>
      </c>
      <c r="E393" s="149" t="s">
        <v>294</v>
      </c>
      <c r="I393" s="104"/>
    </row>
    <row r="394" spans="1:9" x14ac:dyDescent="0.2">
      <c r="A394" s="105"/>
      <c r="B394" s="206" t="s">
        <v>270</v>
      </c>
      <c r="C394" s="206"/>
      <c r="D394" s="144">
        <v>0</v>
      </c>
      <c r="E394" s="145" t="s">
        <v>360</v>
      </c>
      <c r="I394" s="104"/>
    </row>
    <row r="395" spans="1:9" x14ac:dyDescent="0.2">
      <c r="A395" s="105"/>
      <c r="B395" s="195" t="s">
        <v>268</v>
      </c>
      <c r="C395" s="196"/>
      <c r="D395" s="144">
        <v>2</v>
      </c>
      <c r="E395" s="149" t="s">
        <v>297</v>
      </c>
      <c r="I395" s="104"/>
    </row>
    <row r="396" spans="1:9" s="105" customFormat="1" x14ac:dyDescent="0.2">
      <c r="B396" s="197" t="s">
        <v>365</v>
      </c>
      <c r="C396" s="198"/>
      <c r="D396" s="144">
        <v>5</v>
      </c>
      <c r="E396" s="145" t="s">
        <v>426</v>
      </c>
      <c r="G396" s="173"/>
      <c r="H396" s="170"/>
      <c r="I396" s="112"/>
    </row>
    <row r="397" spans="1:9" s="105" customFormat="1" ht="13.5" thickBot="1" x14ac:dyDescent="0.25">
      <c r="B397" s="195" t="s">
        <v>366</v>
      </c>
      <c r="C397" s="196"/>
      <c r="D397" s="144">
        <v>5</v>
      </c>
      <c r="E397" s="145" t="s">
        <v>427</v>
      </c>
      <c r="G397" s="173"/>
      <c r="H397" s="170"/>
      <c r="I397" s="112"/>
    </row>
    <row r="398" spans="1:9" ht="26.25" customHeight="1" thickBot="1" x14ac:dyDescent="0.25">
      <c r="A398" s="105"/>
      <c r="B398" s="199" t="s">
        <v>375</v>
      </c>
      <c r="C398" s="200"/>
      <c r="D398" s="200"/>
      <c r="E398" s="201"/>
      <c r="I398" s="104"/>
    </row>
    <row r="399" spans="1:9" x14ac:dyDescent="0.2">
      <c r="A399" s="105"/>
      <c r="B399" s="135" t="s">
        <v>18</v>
      </c>
      <c r="C399" s="105"/>
      <c r="D399" s="140"/>
      <c r="E399" s="134"/>
      <c r="I399" s="104"/>
    </row>
    <row r="400" spans="1:9" x14ac:dyDescent="0.2">
      <c r="A400" s="105"/>
      <c r="B400" s="146"/>
      <c r="C400" s="193" t="s">
        <v>24</v>
      </c>
      <c r="D400" s="193"/>
      <c r="E400" s="193"/>
      <c r="I400" s="104"/>
    </row>
    <row r="401" spans="1:9" x14ac:dyDescent="0.2">
      <c r="A401" s="105"/>
      <c r="B401" s="135" t="s">
        <v>19</v>
      </c>
      <c r="C401" s="150"/>
      <c r="D401" s="150"/>
      <c r="E401" s="147"/>
      <c r="I401" s="104"/>
    </row>
    <row r="402" spans="1:9" x14ac:dyDescent="0.2">
      <c r="A402" s="105"/>
      <c r="B402" s="146"/>
      <c r="C402" s="193" t="s">
        <v>101</v>
      </c>
      <c r="D402" s="193"/>
      <c r="E402" s="193"/>
      <c r="I402" s="104"/>
    </row>
    <row r="403" spans="1:9" x14ac:dyDescent="0.2">
      <c r="A403" s="105"/>
      <c r="B403" s="135" t="s">
        <v>20</v>
      </c>
      <c r="C403" s="105"/>
      <c r="D403" s="140"/>
      <c r="E403" s="134"/>
      <c r="I403" s="104"/>
    </row>
    <row r="404" spans="1:9" x14ac:dyDescent="0.2">
      <c r="A404" s="105"/>
      <c r="B404" s="135"/>
      <c r="C404" s="194" t="s">
        <v>25</v>
      </c>
      <c r="D404" s="194"/>
      <c r="E404" s="194"/>
      <c r="I404" s="104"/>
    </row>
    <row r="405" spans="1:9" ht="13.5" thickBot="1" x14ac:dyDescent="0.25">
      <c r="A405" s="105"/>
      <c r="B405" s="136"/>
      <c r="C405" s="137"/>
      <c r="D405" s="138"/>
      <c r="E405" s="139"/>
      <c r="I405" s="104"/>
    </row>
    <row r="406" spans="1:9" ht="13.5" thickBot="1" x14ac:dyDescent="0.25">
      <c r="A406" s="105"/>
      <c r="B406" s="105"/>
      <c r="C406" s="105"/>
      <c r="D406" s="140"/>
      <c r="E406" s="105"/>
      <c r="I406" s="104"/>
    </row>
    <row r="407" spans="1:9" x14ac:dyDescent="0.2">
      <c r="A407" s="105"/>
      <c r="B407" s="130" t="s">
        <v>113</v>
      </c>
      <c r="C407" s="131"/>
      <c r="D407" s="132"/>
      <c r="E407" s="133"/>
      <c r="I407" s="104"/>
    </row>
    <row r="408" spans="1:9" x14ac:dyDescent="0.2">
      <c r="A408" s="105"/>
      <c r="B408" s="141"/>
      <c r="C408" s="105"/>
      <c r="D408" s="140"/>
      <c r="E408" s="134"/>
      <c r="I408" s="104"/>
    </row>
    <row r="409" spans="1:9" x14ac:dyDescent="0.2">
      <c r="A409" s="105"/>
      <c r="B409" s="135" t="s">
        <v>16</v>
      </c>
      <c r="C409" s="210"/>
      <c r="D409" s="210"/>
      <c r="E409" s="211"/>
      <c r="I409" s="104"/>
    </row>
    <row r="410" spans="1:9" x14ac:dyDescent="0.2">
      <c r="A410" s="105"/>
      <c r="B410" s="135"/>
      <c r="C410" s="193"/>
      <c r="D410" s="193"/>
      <c r="E410" s="193"/>
      <c r="I410" s="104"/>
    </row>
    <row r="411" spans="1:9" ht="13.5" thickBot="1" x14ac:dyDescent="0.25">
      <c r="A411" s="105"/>
      <c r="B411" s="135" t="s">
        <v>17</v>
      </c>
      <c r="C411" s="105"/>
      <c r="D411" s="140"/>
      <c r="E411" s="134"/>
      <c r="I411" s="104"/>
    </row>
    <row r="412" spans="1:9" ht="13.5" thickBot="1" x14ac:dyDescent="0.25">
      <c r="A412" s="105"/>
      <c r="B412" s="202" t="s">
        <v>98</v>
      </c>
      <c r="C412" s="203"/>
      <c r="D412" s="203"/>
      <c r="E412" s="204"/>
      <c r="I412" s="104"/>
    </row>
    <row r="413" spans="1:9" ht="13.5" thickBot="1" x14ac:dyDescent="0.25">
      <c r="A413" s="105"/>
      <c r="B413" s="202" t="s">
        <v>264</v>
      </c>
      <c r="C413" s="204"/>
      <c r="D413" s="142" t="s">
        <v>11</v>
      </c>
      <c r="E413" s="142" t="s">
        <v>100</v>
      </c>
      <c r="I413" s="104"/>
    </row>
    <row r="414" spans="1:9" x14ac:dyDescent="0.2">
      <c r="A414" s="105"/>
      <c r="B414" s="205" t="s">
        <v>265</v>
      </c>
      <c r="C414" s="205"/>
      <c r="D414" s="143">
        <v>0</v>
      </c>
      <c r="E414" s="148" t="s">
        <v>293</v>
      </c>
      <c r="I414" s="104"/>
    </row>
    <row r="415" spans="1:9" x14ac:dyDescent="0.2">
      <c r="A415" s="105"/>
      <c r="B415" s="206" t="s">
        <v>266</v>
      </c>
      <c r="C415" s="206"/>
      <c r="D415" s="144">
        <v>6</v>
      </c>
      <c r="E415" s="149" t="s">
        <v>295</v>
      </c>
      <c r="I415" s="104"/>
    </row>
    <row r="416" spans="1:9" x14ac:dyDescent="0.2">
      <c r="A416" s="105"/>
      <c r="B416" s="206" t="s">
        <v>267</v>
      </c>
      <c r="C416" s="206"/>
      <c r="D416" s="144">
        <v>3</v>
      </c>
      <c r="E416" s="149" t="s">
        <v>296</v>
      </c>
      <c r="I416" s="104"/>
    </row>
    <row r="417" spans="1:9" x14ac:dyDescent="0.2">
      <c r="A417" s="105"/>
      <c r="B417" s="206" t="s">
        <v>269</v>
      </c>
      <c r="C417" s="206"/>
      <c r="D417" s="144">
        <v>3</v>
      </c>
      <c r="E417" s="149" t="s">
        <v>294</v>
      </c>
      <c r="I417" s="104"/>
    </row>
    <row r="418" spans="1:9" x14ac:dyDescent="0.2">
      <c r="A418" s="105"/>
      <c r="B418" s="206" t="s">
        <v>270</v>
      </c>
      <c r="C418" s="206"/>
      <c r="D418" s="144">
        <v>0</v>
      </c>
      <c r="E418" s="145" t="s">
        <v>360</v>
      </c>
      <c r="I418" s="104"/>
    </row>
    <row r="419" spans="1:9" x14ac:dyDescent="0.2">
      <c r="A419" s="105"/>
      <c r="B419" s="195" t="s">
        <v>268</v>
      </c>
      <c r="C419" s="196"/>
      <c r="D419" s="144">
        <v>1</v>
      </c>
      <c r="E419" s="149" t="s">
        <v>297</v>
      </c>
      <c r="I419" s="104"/>
    </row>
    <row r="420" spans="1:9" s="105" customFormat="1" x14ac:dyDescent="0.2">
      <c r="B420" s="197" t="s">
        <v>365</v>
      </c>
      <c r="C420" s="198"/>
      <c r="D420" s="144">
        <v>0</v>
      </c>
      <c r="E420" s="145" t="s">
        <v>426</v>
      </c>
      <c r="G420" s="173"/>
      <c r="H420" s="170"/>
      <c r="I420" s="112"/>
    </row>
    <row r="421" spans="1:9" s="105" customFormat="1" ht="13.5" thickBot="1" x14ac:dyDescent="0.25">
      <c r="B421" s="195" t="s">
        <v>366</v>
      </c>
      <c r="C421" s="196"/>
      <c r="D421" s="144">
        <v>0</v>
      </c>
      <c r="E421" s="145" t="s">
        <v>427</v>
      </c>
      <c r="G421" s="173"/>
      <c r="H421" s="170"/>
      <c r="I421" s="112"/>
    </row>
    <row r="422" spans="1:9" ht="26.25" customHeight="1" thickBot="1" x14ac:dyDescent="0.25">
      <c r="A422" s="105"/>
      <c r="B422" s="199" t="s">
        <v>362</v>
      </c>
      <c r="C422" s="200"/>
      <c r="D422" s="200"/>
      <c r="E422" s="201"/>
      <c r="I422" s="104"/>
    </row>
    <row r="423" spans="1:9" x14ac:dyDescent="0.2">
      <c r="A423" s="105"/>
      <c r="B423" s="135" t="s">
        <v>18</v>
      </c>
      <c r="C423" s="105"/>
      <c r="D423" s="140"/>
      <c r="E423" s="134"/>
      <c r="I423" s="104"/>
    </row>
    <row r="424" spans="1:9" x14ac:dyDescent="0.2">
      <c r="A424" s="105"/>
      <c r="B424" s="146"/>
      <c r="C424" s="193" t="s">
        <v>24</v>
      </c>
      <c r="D424" s="193"/>
      <c r="E424" s="193"/>
      <c r="I424" s="104"/>
    </row>
    <row r="425" spans="1:9" x14ac:dyDescent="0.2">
      <c r="A425" s="105"/>
      <c r="B425" s="135" t="s">
        <v>19</v>
      </c>
      <c r="C425" s="150"/>
      <c r="D425" s="150"/>
      <c r="E425" s="147"/>
      <c r="I425" s="104"/>
    </row>
    <row r="426" spans="1:9" x14ac:dyDescent="0.2">
      <c r="A426" s="105"/>
      <c r="B426" s="146"/>
      <c r="C426" s="193" t="s">
        <v>101</v>
      </c>
      <c r="D426" s="193"/>
      <c r="E426" s="193"/>
      <c r="I426" s="104"/>
    </row>
    <row r="427" spans="1:9" x14ac:dyDescent="0.2">
      <c r="A427" s="105"/>
      <c r="B427" s="135" t="s">
        <v>20</v>
      </c>
      <c r="C427" s="105"/>
      <c r="D427" s="140"/>
      <c r="E427" s="134"/>
      <c r="I427" s="104"/>
    </row>
    <row r="428" spans="1:9" x14ac:dyDescent="0.2">
      <c r="A428" s="105"/>
      <c r="B428" s="135"/>
      <c r="C428" s="194" t="s">
        <v>25</v>
      </c>
      <c r="D428" s="194"/>
      <c r="E428" s="194"/>
      <c r="I428" s="104"/>
    </row>
    <row r="429" spans="1:9" ht="13.5" thickBot="1" x14ac:dyDescent="0.25">
      <c r="A429" s="105"/>
      <c r="B429" s="136"/>
      <c r="C429" s="137"/>
      <c r="D429" s="138"/>
      <c r="E429" s="139"/>
      <c r="I429" s="104"/>
    </row>
    <row r="430" spans="1:9" ht="13.5" thickBot="1" x14ac:dyDescent="0.25">
      <c r="A430" s="105"/>
      <c r="B430" s="105"/>
      <c r="C430" s="105"/>
      <c r="D430" s="140"/>
      <c r="E430" s="105"/>
      <c r="I430" s="104"/>
    </row>
    <row r="431" spans="1:9" x14ac:dyDescent="0.2">
      <c r="A431" s="105"/>
      <c r="B431" s="130" t="s">
        <v>114</v>
      </c>
      <c r="C431" s="131"/>
      <c r="D431" s="132"/>
      <c r="E431" s="133"/>
      <c r="I431" s="104"/>
    </row>
    <row r="432" spans="1:9" x14ac:dyDescent="0.2">
      <c r="A432" s="105"/>
      <c r="B432" s="141"/>
      <c r="C432" s="105"/>
      <c r="D432" s="140"/>
      <c r="E432" s="134"/>
      <c r="I432" s="104"/>
    </row>
    <row r="433" spans="1:9" x14ac:dyDescent="0.2">
      <c r="A433" s="105"/>
      <c r="B433" s="135" t="s">
        <v>16</v>
      </c>
      <c r="C433" s="105"/>
      <c r="D433" s="140"/>
      <c r="E433" s="134"/>
      <c r="I433" s="104"/>
    </row>
    <row r="434" spans="1:9" x14ac:dyDescent="0.2">
      <c r="A434" s="105"/>
      <c r="B434" s="135"/>
      <c r="C434" s="207" t="s">
        <v>463</v>
      </c>
      <c r="D434" s="207"/>
      <c r="E434" s="207"/>
      <c r="I434" s="104"/>
    </row>
    <row r="435" spans="1:9" ht="13.5" thickBot="1" x14ac:dyDescent="0.25">
      <c r="A435" s="105"/>
      <c r="B435" s="135" t="s">
        <v>17</v>
      </c>
      <c r="C435" s="105"/>
      <c r="D435" s="140"/>
      <c r="E435" s="134"/>
      <c r="I435" s="104"/>
    </row>
    <row r="436" spans="1:9" ht="13.5" thickBot="1" x14ac:dyDescent="0.25">
      <c r="A436" s="105"/>
      <c r="B436" s="202" t="s">
        <v>98</v>
      </c>
      <c r="C436" s="203"/>
      <c r="D436" s="203"/>
      <c r="E436" s="204"/>
      <c r="I436" s="104"/>
    </row>
    <row r="437" spans="1:9" ht="13.5" thickBot="1" x14ac:dyDescent="0.25">
      <c r="A437" s="105"/>
      <c r="B437" s="202" t="s">
        <v>264</v>
      </c>
      <c r="C437" s="204"/>
      <c r="D437" s="142" t="s">
        <v>11</v>
      </c>
      <c r="E437" s="142" t="s">
        <v>100</v>
      </c>
      <c r="I437" s="104"/>
    </row>
    <row r="438" spans="1:9" x14ac:dyDescent="0.2">
      <c r="A438" s="105"/>
      <c r="B438" s="205" t="s">
        <v>265</v>
      </c>
      <c r="C438" s="205"/>
      <c r="D438" s="143">
        <v>4</v>
      </c>
      <c r="E438" s="148" t="s">
        <v>293</v>
      </c>
      <c r="I438" s="104"/>
    </row>
    <row r="439" spans="1:9" x14ac:dyDescent="0.2">
      <c r="A439" s="105"/>
      <c r="B439" s="206" t="s">
        <v>266</v>
      </c>
      <c r="C439" s="206"/>
      <c r="D439" s="144">
        <v>6</v>
      </c>
      <c r="E439" s="149" t="s">
        <v>295</v>
      </c>
      <c r="I439" s="104"/>
    </row>
    <row r="440" spans="1:9" x14ac:dyDescent="0.2">
      <c r="A440" s="105"/>
      <c r="B440" s="206" t="s">
        <v>267</v>
      </c>
      <c r="C440" s="206"/>
      <c r="D440" s="144">
        <v>7</v>
      </c>
      <c r="E440" s="149" t="s">
        <v>296</v>
      </c>
      <c r="I440" s="104"/>
    </row>
    <row r="441" spans="1:9" x14ac:dyDescent="0.2">
      <c r="A441" s="105"/>
      <c r="B441" s="206" t="s">
        <v>269</v>
      </c>
      <c r="C441" s="206"/>
      <c r="D441" s="144">
        <v>16</v>
      </c>
      <c r="E441" s="149" t="s">
        <v>294</v>
      </c>
      <c r="I441" s="104"/>
    </row>
    <row r="442" spans="1:9" x14ac:dyDescent="0.2">
      <c r="A442" s="105"/>
      <c r="B442" s="206" t="s">
        <v>270</v>
      </c>
      <c r="C442" s="206"/>
      <c r="D442" s="144">
        <v>0</v>
      </c>
      <c r="E442" s="145" t="s">
        <v>360</v>
      </c>
      <c r="I442" s="104"/>
    </row>
    <row r="443" spans="1:9" x14ac:dyDescent="0.2">
      <c r="A443" s="105"/>
      <c r="B443" s="195" t="s">
        <v>268</v>
      </c>
      <c r="C443" s="196"/>
      <c r="D443" s="144">
        <v>0</v>
      </c>
      <c r="E443" s="149" t="s">
        <v>297</v>
      </c>
      <c r="I443" s="104"/>
    </row>
    <row r="444" spans="1:9" s="105" customFormat="1" x14ac:dyDescent="0.2">
      <c r="B444" s="197" t="s">
        <v>365</v>
      </c>
      <c r="C444" s="198"/>
      <c r="D444" s="144">
        <v>4</v>
      </c>
      <c r="E444" s="145" t="s">
        <v>426</v>
      </c>
      <c r="G444" s="173"/>
      <c r="H444" s="170"/>
      <c r="I444" s="112"/>
    </row>
    <row r="445" spans="1:9" s="105" customFormat="1" ht="13.5" thickBot="1" x14ac:dyDescent="0.25">
      <c r="B445" s="195" t="s">
        <v>366</v>
      </c>
      <c r="C445" s="196"/>
      <c r="D445" s="144">
        <v>0</v>
      </c>
      <c r="E445" s="145" t="s">
        <v>427</v>
      </c>
      <c r="G445" s="173"/>
      <c r="H445" s="170"/>
      <c r="I445" s="112"/>
    </row>
    <row r="446" spans="1:9" ht="25.5" customHeight="1" thickBot="1" x14ac:dyDescent="0.25">
      <c r="A446" s="105"/>
      <c r="B446" s="199" t="s">
        <v>407</v>
      </c>
      <c r="C446" s="200"/>
      <c r="D446" s="200"/>
      <c r="E446" s="201"/>
      <c r="I446" s="104"/>
    </row>
    <row r="447" spans="1:9" x14ac:dyDescent="0.2">
      <c r="A447" s="105"/>
      <c r="B447" s="135" t="s">
        <v>18</v>
      </c>
      <c r="C447" s="105"/>
      <c r="D447" s="140"/>
      <c r="E447" s="134"/>
      <c r="I447" s="104"/>
    </row>
    <row r="448" spans="1:9" x14ac:dyDescent="0.2">
      <c r="A448" s="105"/>
      <c r="B448" s="146"/>
      <c r="C448" s="193" t="s">
        <v>24</v>
      </c>
      <c r="D448" s="193"/>
      <c r="E448" s="193"/>
      <c r="I448" s="104"/>
    </row>
    <row r="449" spans="1:9" x14ac:dyDescent="0.2">
      <c r="A449" s="105"/>
      <c r="B449" s="135" t="s">
        <v>19</v>
      </c>
      <c r="C449" s="150"/>
      <c r="D449" s="150"/>
      <c r="E449" s="147"/>
      <c r="I449" s="104"/>
    </row>
    <row r="450" spans="1:9" x14ac:dyDescent="0.2">
      <c r="A450" s="105"/>
      <c r="B450" s="146"/>
      <c r="C450" s="193" t="s">
        <v>101</v>
      </c>
      <c r="D450" s="193"/>
      <c r="E450" s="193"/>
      <c r="I450" s="104"/>
    </row>
    <row r="451" spans="1:9" x14ac:dyDescent="0.2">
      <c r="A451" s="105"/>
      <c r="B451" s="135" t="s">
        <v>20</v>
      </c>
      <c r="C451" s="105"/>
      <c r="D451" s="140"/>
      <c r="E451" s="134"/>
      <c r="I451" s="104"/>
    </row>
    <row r="452" spans="1:9" x14ac:dyDescent="0.2">
      <c r="A452" s="105"/>
      <c r="B452" s="135"/>
      <c r="C452" s="194" t="s">
        <v>25</v>
      </c>
      <c r="D452" s="194"/>
      <c r="E452" s="194"/>
      <c r="I452" s="104"/>
    </row>
    <row r="453" spans="1:9" ht="13.5" thickBot="1" x14ac:dyDescent="0.25">
      <c r="A453" s="105"/>
      <c r="B453" s="136"/>
      <c r="C453" s="137"/>
      <c r="D453" s="138"/>
      <c r="E453" s="139"/>
      <c r="I453" s="104"/>
    </row>
    <row r="454" spans="1:9" ht="13.5" thickBot="1" x14ac:dyDescent="0.25">
      <c r="A454" s="105"/>
      <c r="B454" s="105"/>
      <c r="C454" s="105"/>
      <c r="D454" s="140"/>
      <c r="E454" s="105"/>
      <c r="I454" s="104"/>
    </row>
    <row r="455" spans="1:9" x14ac:dyDescent="0.2">
      <c r="A455" s="105"/>
      <c r="B455" s="130" t="s">
        <v>115</v>
      </c>
      <c r="C455" s="131"/>
      <c r="D455" s="132"/>
      <c r="E455" s="133"/>
      <c r="I455" s="104"/>
    </row>
    <row r="456" spans="1:9" x14ac:dyDescent="0.2">
      <c r="A456" s="105"/>
      <c r="B456" s="141"/>
      <c r="C456" s="212" t="s">
        <v>446</v>
      </c>
      <c r="D456" s="212"/>
      <c r="E456" s="213"/>
      <c r="I456" s="104"/>
    </row>
    <row r="457" spans="1:9" x14ac:dyDescent="0.2">
      <c r="A457" s="105"/>
      <c r="B457" s="135" t="s">
        <v>16</v>
      </c>
      <c r="C457" s="105"/>
      <c r="D457" s="140"/>
      <c r="E457" s="134"/>
      <c r="I457" s="104"/>
    </row>
    <row r="458" spans="1:9" x14ac:dyDescent="0.2">
      <c r="A458" s="105"/>
      <c r="B458" s="135"/>
      <c r="C458" s="193"/>
      <c r="D458" s="193"/>
      <c r="E458" s="193"/>
      <c r="I458" s="104"/>
    </row>
    <row r="459" spans="1:9" ht="13.5" thickBot="1" x14ac:dyDescent="0.25">
      <c r="A459" s="105"/>
      <c r="B459" s="135" t="s">
        <v>17</v>
      </c>
      <c r="C459" s="105"/>
      <c r="D459" s="140"/>
      <c r="E459" s="134"/>
      <c r="I459" s="104"/>
    </row>
    <row r="460" spans="1:9" ht="13.5" thickBot="1" x14ac:dyDescent="0.25">
      <c r="A460" s="105"/>
      <c r="B460" s="202" t="s">
        <v>98</v>
      </c>
      <c r="C460" s="203"/>
      <c r="D460" s="203"/>
      <c r="E460" s="204"/>
      <c r="I460" s="104"/>
    </row>
    <row r="461" spans="1:9" ht="13.5" thickBot="1" x14ac:dyDescent="0.25">
      <c r="A461" s="105"/>
      <c r="B461" s="202" t="s">
        <v>264</v>
      </c>
      <c r="C461" s="204"/>
      <c r="D461" s="142" t="s">
        <v>11</v>
      </c>
      <c r="E461" s="142" t="s">
        <v>100</v>
      </c>
      <c r="I461" s="104"/>
    </row>
    <row r="462" spans="1:9" x14ac:dyDescent="0.2">
      <c r="A462" s="105"/>
      <c r="B462" s="205" t="s">
        <v>265</v>
      </c>
      <c r="C462" s="205"/>
      <c r="D462" s="143">
        <v>6</v>
      </c>
      <c r="E462" s="148" t="s">
        <v>293</v>
      </c>
      <c r="I462" s="104"/>
    </row>
    <row r="463" spans="1:9" x14ac:dyDescent="0.2">
      <c r="A463" s="105"/>
      <c r="B463" s="206" t="s">
        <v>266</v>
      </c>
      <c r="C463" s="206"/>
      <c r="D463" s="144">
        <v>9</v>
      </c>
      <c r="E463" s="149" t="s">
        <v>295</v>
      </c>
      <c r="I463" s="104"/>
    </row>
    <row r="464" spans="1:9" x14ac:dyDescent="0.2">
      <c r="A464" s="105"/>
      <c r="B464" s="206" t="s">
        <v>267</v>
      </c>
      <c r="C464" s="206"/>
      <c r="D464" s="144">
        <v>10</v>
      </c>
      <c r="E464" s="149" t="s">
        <v>296</v>
      </c>
    </row>
    <row r="465" spans="1:9" x14ac:dyDescent="0.2">
      <c r="A465" s="105"/>
      <c r="B465" s="206" t="s">
        <v>269</v>
      </c>
      <c r="C465" s="206"/>
      <c r="D465" s="144">
        <v>25</v>
      </c>
      <c r="E465" s="149" t="s">
        <v>294</v>
      </c>
    </row>
    <row r="466" spans="1:9" x14ac:dyDescent="0.2">
      <c r="A466" s="105"/>
      <c r="B466" s="206" t="s">
        <v>270</v>
      </c>
      <c r="C466" s="206"/>
      <c r="D466" s="144">
        <v>0</v>
      </c>
      <c r="E466" s="145" t="s">
        <v>360</v>
      </c>
    </row>
    <row r="467" spans="1:9" x14ac:dyDescent="0.2">
      <c r="A467" s="105"/>
      <c r="B467" s="195" t="s">
        <v>268</v>
      </c>
      <c r="C467" s="196"/>
      <c r="D467" s="144">
        <v>4</v>
      </c>
      <c r="E467" s="149" t="s">
        <v>297</v>
      </c>
    </row>
    <row r="468" spans="1:9" s="105" customFormat="1" x14ac:dyDescent="0.2">
      <c r="B468" s="197" t="s">
        <v>365</v>
      </c>
      <c r="C468" s="198"/>
      <c r="D468" s="144">
        <v>5</v>
      </c>
      <c r="E468" s="145" t="s">
        <v>426</v>
      </c>
      <c r="G468" s="173"/>
      <c r="H468" s="170"/>
      <c r="I468" s="112"/>
    </row>
    <row r="469" spans="1:9" s="105" customFormat="1" ht="13.5" thickBot="1" x14ac:dyDescent="0.25">
      <c r="B469" s="195" t="s">
        <v>366</v>
      </c>
      <c r="C469" s="196"/>
      <c r="D469" s="144">
        <v>0</v>
      </c>
      <c r="E469" s="145" t="s">
        <v>427</v>
      </c>
      <c r="G469" s="173"/>
      <c r="H469" s="170"/>
      <c r="I469" s="112"/>
    </row>
    <row r="470" spans="1:9" ht="41.25" customHeight="1" thickBot="1" x14ac:dyDescent="0.25">
      <c r="A470" s="105"/>
      <c r="B470" s="199" t="s">
        <v>373</v>
      </c>
      <c r="C470" s="200"/>
      <c r="D470" s="200"/>
      <c r="E470" s="201"/>
      <c r="I470" s="104"/>
    </row>
    <row r="471" spans="1:9" x14ac:dyDescent="0.2">
      <c r="A471" s="105"/>
      <c r="B471" s="135" t="s">
        <v>18</v>
      </c>
      <c r="C471" s="105"/>
      <c r="D471" s="140"/>
      <c r="E471" s="134"/>
      <c r="I471" s="104"/>
    </row>
    <row r="472" spans="1:9" x14ac:dyDescent="0.2">
      <c r="A472" s="105"/>
      <c r="B472" s="146"/>
      <c r="C472" s="193" t="s">
        <v>24</v>
      </c>
      <c r="D472" s="193"/>
      <c r="E472" s="193"/>
      <c r="I472" s="104"/>
    </row>
    <row r="473" spans="1:9" x14ac:dyDescent="0.2">
      <c r="A473" s="105"/>
      <c r="B473" s="135" t="s">
        <v>19</v>
      </c>
      <c r="C473" s="150"/>
      <c r="D473" s="150"/>
      <c r="E473" s="147"/>
      <c r="I473" s="104"/>
    </row>
    <row r="474" spans="1:9" x14ac:dyDescent="0.2">
      <c r="A474" s="105"/>
      <c r="B474" s="146"/>
      <c r="C474" s="193" t="s">
        <v>101</v>
      </c>
      <c r="D474" s="193"/>
      <c r="E474" s="193"/>
      <c r="I474" s="104"/>
    </row>
    <row r="475" spans="1:9" x14ac:dyDescent="0.2">
      <c r="A475" s="105"/>
      <c r="B475" s="135" t="s">
        <v>20</v>
      </c>
      <c r="C475" s="105"/>
      <c r="D475" s="140"/>
      <c r="E475" s="134"/>
      <c r="I475" s="104"/>
    </row>
    <row r="476" spans="1:9" x14ac:dyDescent="0.2">
      <c r="A476" s="105"/>
      <c r="B476" s="135"/>
      <c r="C476" s="194" t="s">
        <v>25</v>
      </c>
      <c r="D476" s="194"/>
      <c r="E476" s="194"/>
      <c r="I476" s="104"/>
    </row>
    <row r="477" spans="1:9" ht="13.5" thickBot="1" x14ac:dyDescent="0.25">
      <c r="A477" s="105"/>
      <c r="B477" s="136"/>
      <c r="C477" s="137"/>
      <c r="D477" s="138"/>
      <c r="E477" s="139"/>
      <c r="I477" s="104"/>
    </row>
    <row r="478" spans="1:9" ht="13.5" thickBot="1" x14ac:dyDescent="0.25">
      <c r="A478" s="105"/>
      <c r="B478" s="105"/>
      <c r="C478" s="105"/>
      <c r="D478" s="140"/>
      <c r="E478" s="105"/>
      <c r="I478" s="104"/>
    </row>
    <row r="479" spans="1:9" x14ac:dyDescent="0.2">
      <c r="A479" s="105"/>
      <c r="B479" s="130" t="s">
        <v>116</v>
      </c>
      <c r="C479" s="131"/>
      <c r="D479" s="132"/>
      <c r="E479" s="133"/>
      <c r="I479" s="104"/>
    </row>
    <row r="480" spans="1:9" x14ac:dyDescent="0.2">
      <c r="A480" s="105"/>
      <c r="B480" s="141"/>
      <c r="C480" s="105"/>
      <c r="D480" s="140"/>
      <c r="E480" s="134"/>
      <c r="I480" s="104"/>
    </row>
    <row r="481" spans="1:9" x14ac:dyDescent="0.2">
      <c r="A481" s="105"/>
      <c r="B481" s="135" t="s">
        <v>16</v>
      </c>
      <c r="C481" s="105"/>
      <c r="D481" s="140"/>
      <c r="E481" s="134"/>
      <c r="I481" s="104"/>
    </row>
    <row r="482" spans="1:9" x14ac:dyDescent="0.2">
      <c r="A482" s="105"/>
      <c r="B482" s="135"/>
      <c r="C482" s="207" t="s">
        <v>453</v>
      </c>
      <c r="D482" s="207"/>
      <c r="E482" s="207"/>
      <c r="I482" s="104"/>
    </row>
    <row r="483" spans="1:9" ht="13.5" thickBot="1" x14ac:dyDescent="0.25">
      <c r="A483" s="105"/>
      <c r="B483" s="135" t="s">
        <v>17</v>
      </c>
      <c r="C483" s="105"/>
      <c r="D483" s="140"/>
      <c r="E483" s="134"/>
      <c r="I483" s="104"/>
    </row>
    <row r="484" spans="1:9" ht="13.5" thickBot="1" x14ac:dyDescent="0.25">
      <c r="A484" s="105"/>
      <c r="B484" s="202" t="s">
        <v>98</v>
      </c>
      <c r="C484" s="203"/>
      <c r="D484" s="203"/>
      <c r="E484" s="204"/>
      <c r="I484" s="104"/>
    </row>
    <row r="485" spans="1:9" ht="13.5" thickBot="1" x14ac:dyDescent="0.25">
      <c r="A485" s="105"/>
      <c r="B485" s="202" t="s">
        <v>264</v>
      </c>
      <c r="C485" s="204"/>
      <c r="D485" s="142" t="s">
        <v>11</v>
      </c>
      <c r="E485" s="142" t="s">
        <v>100</v>
      </c>
      <c r="I485" s="104"/>
    </row>
    <row r="486" spans="1:9" x14ac:dyDescent="0.2">
      <c r="A486" s="105"/>
      <c r="B486" s="205" t="s">
        <v>265</v>
      </c>
      <c r="C486" s="205"/>
      <c r="D486" s="143">
        <v>4</v>
      </c>
      <c r="E486" s="148" t="s">
        <v>293</v>
      </c>
      <c r="I486" s="104"/>
    </row>
    <row r="487" spans="1:9" x14ac:dyDescent="0.2">
      <c r="A487" s="105"/>
      <c r="B487" s="206" t="s">
        <v>266</v>
      </c>
      <c r="C487" s="206"/>
      <c r="D487" s="144">
        <v>6</v>
      </c>
      <c r="E487" s="149" t="s">
        <v>295</v>
      </c>
      <c r="I487" s="104"/>
    </row>
    <row r="488" spans="1:9" x14ac:dyDescent="0.2">
      <c r="A488" s="105"/>
      <c r="B488" s="206" t="s">
        <v>267</v>
      </c>
      <c r="C488" s="206"/>
      <c r="D488" s="144">
        <v>8</v>
      </c>
      <c r="E488" s="149" t="s">
        <v>296</v>
      </c>
      <c r="I488" s="104"/>
    </row>
    <row r="489" spans="1:9" x14ac:dyDescent="0.2">
      <c r="A489" s="105"/>
      <c r="B489" s="206" t="s">
        <v>269</v>
      </c>
      <c r="C489" s="206"/>
      <c r="D489" s="144">
        <v>0</v>
      </c>
      <c r="E489" s="149" t="s">
        <v>294</v>
      </c>
      <c r="I489" s="104"/>
    </row>
    <row r="490" spans="1:9" x14ac:dyDescent="0.2">
      <c r="A490" s="105"/>
      <c r="B490" s="206" t="s">
        <v>270</v>
      </c>
      <c r="C490" s="206"/>
      <c r="D490" s="144">
        <v>0</v>
      </c>
      <c r="E490" s="145" t="s">
        <v>360</v>
      </c>
      <c r="I490" s="104"/>
    </row>
    <row r="491" spans="1:9" x14ac:dyDescent="0.2">
      <c r="A491" s="105"/>
      <c r="B491" s="195" t="s">
        <v>268</v>
      </c>
      <c r="C491" s="196"/>
      <c r="D491" s="144">
        <v>2</v>
      </c>
      <c r="E491" s="149" t="s">
        <v>297</v>
      </c>
      <c r="I491" s="104"/>
    </row>
    <row r="492" spans="1:9" s="105" customFormat="1" x14ac:dyDescent="0.2">
      <c r="B492" s="197" t="s">
        <v>365</v>
      </c>
      <c r="C492" s="198"/>
      <c r="D492" s="144">
        <v>2</v>
      </c>
      <c r="E492" s="145" t="s">
        <v>426</v>
      </c>
      <c r="G492" s="173"/>
      <c r="H492" s="170"/>
      <c r="I492" s="112"/>
    </row>
    <row r="493" spans="1:9" s="105" customFormat="1" ht="13.5" thickBot="1" x14ac:dyDescent="0.25">
      <c r="B493" s="195" t="s">
        <v>366</v>
      </c>
      <c r="C493" s="196"/>
      <c r="D493" s="144">
        <v>3</v>
      </c>
      <c r="E493" s="145" t="s">
        <v>427</v>
      </c>
      <c r="G493" s="173"/>
      <c r="H493" s="170"/>
      <c r="I493" s="112"/>
    </row>
    <row r="494" spans="1:9" ht="24.75" customHeight="1" thickBot="1" x14ac:dyDescent="0.25">
      <c r="A494" s="105"/>
      <c r="B494" s="199" t="s">
        <v>377</v>
      </c>
      <c r="C494" s="200"/>
      <c r="D494" s="200"/>
      <c r="E494" s="201"/>
      <c r="I494" s="104"/>
    </row>
    <row r="495" spans="1:9" x14ac:dyDescent="0.2">
      <c r="A495" s="105"/>
      <c r="B495" s="135" t="s">
        <v>18</v>
      </c>
      <c r="C495" s="105"/>
      <c r="D495" s="140"/>
      <c r="E495" s="134"/>
      <c r="I495" s="104"/>
    </row>
    <row r="496" spans="1:9" x14ac:dyDescent="0.2">
      <c r="A496" s="105"/>
      <c r="B496" s="146"/>
      <c r="C496" s="193" t="s">
        <v>24</v>
      </c>
      <c r="D496" s="193"/>
      <c r="E496" s="193"/>
      <c r="I496" s="104"/>
    </row>
    <row r="497" spans="1:9" x14ac:dyDescent="0.2">
      <c r="A497" s="105"/>
      <c r="B497" s="135" t="s">
        <v>19</v>
      </c>
      <c r="C497" s="150"/>
      <c r="D497" s="150"/>
      <c r="E497" s="147"/>
      <c r="I497" s="104"/>
    </row>
    <row r="498" spans="1:9" x14ac:dyDescent="0.2">
      <c r="A498" s="105"/>
      <c r="B498" s="146"/>
      <c r="C498" s="193" t="s">
        <v>101</v>
      </c>
      <c r="D498" s="193"/>
      <c r="E498" s="193"/>
      <c r="I498" s="104"/>
    </row>
    <row r="499" spans="1:9" x14ac:dyDescent="0.2">
      <c r="A499" s="105"/>
      <c r="B499" s="135" t="s">
        <v>20</v>
      </c>
      <c r="C499" s="105"/>
      <c r="D499" s="140"/>
      <c r="E499" s="134"/>
      <c r="I499" s="104"/>
    </row>
    <row r="500" spans="1:9" x14ac:dyDescent="0.2">
      <c r="A500" s="105"/>
      <c r="B500" s="135"/>
      <c r="C500" s="194" t="s">
        <v>25</v>
      </c>
      <c r="D500" s="194"/>
      <c r="E500" s="194"/>
      <c r="I500" s="104"/>
    </row>
    <row r="501" spans="1:9" ht="13.5" thickBot="1" x14ac:dyDescent="0.25">
      <c r="A501" s="105"/>
      <c r="B501" s="136"/>
      <c r="C501" s="137"/>
      <c r="D501" s="138"/>
      <c r="E501" s="139"/>
      <c r="I501" s="104"/>
    </row>
    <row r="502" spans="1:9" ht="13.5" thickBot="1" x14ac:dyDescent="0.25">
      <c r="A502" s="105"/>
      <c r="B502" s="105"/>
      <c r="C502" s="105"/>
      <c r="D502" s="140"/>
      <c r="E502" s="105"/>
      <c r="I502" s="104"/>
    </row>
    <row r="503" spans="1:9" x14ac:dyDescent="0.2">
      <c r="A503" s="105"/>
      <c r="B503" s="130" t="s">
        <v>117</v>
      </c>
      <c r="C503" s="131"/>
      <c r="D503" s="132"/>
      <c r="E503" s="133"/>
      <c r="I503" s="104"/>
    </row>
    <row r="504" spans="1:9" x14ac:dyDescent="0.2">
      <c r="A504" s="105"/>
      <c r="B504" s="141"/>
      <c r="C504" s="105"/>
      <c r="D504" s="140"/>
      <c r="E504" s="134"/>
      <c r="I504" s="104"/>
    </row>
    <row r="505" spans="1:9" x14ac:dyDescent="0.2">
      <c r="A505" s="105"/>
      <c r="B505" s="135" t="s">
        <v>16</v>
      </c>
      <c r="C505" s="210"/>
      <c r="D505" s="210"/>
      <c r="E505" s="211"/>
      <c r="I505" s="104"/>
    </row>
    <row r="506" spans="1:9" x14ac:dyDescent="0.2">
      <c r="A506" s="105"/>
      <c r="B506" s="135"/>
      <c r="C506" s="193"/>
      <c r="D506" s="193"/>
      <c r="E506" s="193"/>
      <c r="I506" s="104"/>
    </row>
    <row r="507" spans="1:9" ht="13.5" thickBot="1" x14ac:dyDescent="0.25">
      <c r="A507" s="105"/>
      <c r="B507" s="135" t="s">
        <v>17</v>
      </c>
      <c r="C507" s="105"/>
      <c r="D507" s="140"/>
      <c r="E507" s="134"/>
      <c r="I507" s="104"/>
    </row>
    <row r="508" spans="1:9" ht="13.5" thickBot="1" x14ac:dyDescent="0.25">
      <c r="A508" s="105"/>
      <c r="B508" s="202" t="s">
        <v>98</v>
      </c>
      <c r="C508" s="203"/>
      <c r="D508" s="203"/>
      <c r="E508" s="204"/>
      <c r="I508" s="104"/>
    </row>
    <row r="509" spans="1:9" ht="13.5" thickBot="1" x14ac:dyDescent="0.25">
      <c r="A509" s="105"/>
      <c r="B509" s="202" t="s">
        <v>264</v>
      </c>
      <c r="C509" s="204"/>
      <c r="D509" s="142" t="s">
        <v>11</v>
      </c>
      <c r="E509" s="142" t="s">
        <v>100</v>
      </c>
      <c r="I509" s="104"/>
    </row>
    <row r="510" spans="1:9" x14ac:dyDescent="0.2">
      <c r="A510" s="105"/>
      <c r="B510" s="205" t="s">
        <v>265</v>
      </c>
      <c r="C510" s="205"/>
      <c r="D510" s="143">
        <v>20</v>
      </c>
      <c r="E510" s="148" t="s">
        <v>293</v>
      </c>
      <c r="I510" s="104"/>
    </row>
    <row r="511" spans="1:9" x14ac:dyDescent="0.2">
      <c r="A511" s="105"/>
      <c r="B511" s="206" t="s">
        <v>266</v>
      </c>
      <c r="C511" s="206"/>
      <c r="D511" s="144">
        <v>30</v>
      </c>
      <c r="E511" s="149" t="s">
        <v>295</v>
      </c>
      <c r="I511" s="104"/>
    </row>
    <row r="512" spans="1:9" x14ac:dyDescent="0.2">
      <c r="A512" s="105"/>
      <c r="B512" s="206" t="s">
        <v>267</v>
      </c>
      <c r="C512" s="206"/>
      <c r="D512" s="144">
        <v>20</v>
      </c>
      <c r="E512" s="149" t="s">
        <v>296</v>
      </c>
      <c r="I512" s="104"/>
    </row>
    <row r="513" spans="1:9" x14ac:dyDescent="0.2">
      <c r="A513" s="105"/>
      <c r="B513" s="206" t="s">
        <v>269</v>
      </c>
      <c r="C513" s="206"/>
      <c r="D513" s="144">
        <v>28</v>
      </c>
      <c r="E513" s="149" t="s">
        <v>294</v>
      </c>
      <c r="I513" s="104"/>
    </row>
    <row r="514" spans="1:9" x14ac:dyDescent="0.2">
      <c r="A514" s="105"/>
      <c r="B514" s="206" t="s">
        <v>270</v>
      </c>
      <c r="C514" s="206"/>
      <c r="D514" s="144">
        <v>0</v>
      </c>
      <c r="E514" s="145" t="s">
        <v>360</v>
      </c>
      <c r="I514" s="104"/>
    </row>
    <row r="515" spans="1:9" x14ac:dyDescent="0.2">
      <c r="A515" s="105"/>
      <c r="B515" s="195" t="s">
        <v>268</v>
      </c>
      <c r="C515" s="196"/>
      <c r="D515" s="144">
        <v>4</v>
      </c>
      <c r="E515" s="149" t="s">
        <v>297</v>
      </c>
      <c r="I515" s="104"/>
    </row>
    <row r="516" spans="1:9" s="105" customFormat="1" x14ac:dyDescent="0.2">
      <c r="B516" s="197" t="s">
        <v>365</v>
      </c>
      <c r="C516" s="198"/>
      <c r="D516" s="144">
        <v>6</v>
      </c>
      <c r="E516" s="145" t="s">
        <v>426</v>
      </c>
      <c r="G516" s="173"/>
      <c r="H516" s="170"/>
      <c r="I516" s="112"/>
    </row>
    <row r="517" spans="1:9" s="105" customFormat="1" ht="13.5" thickBot="1" x14ac:dyDescent="0.25">
      <c r="B517" s="195" t="s">
        <v>366</v>
      </c>
      <c r="C517" s="196"/>
      <c r="D517" s="144">
        <v>25</v>
      </c>
      <c r="E517" s="145" t="s">
        <v>427</v>
      </c>
      <c r="G517" s="173"/>
      <c r="H517" s="170"/>
      <c r="I517" s="112"/>
    </row>
    <row r="518" spans="1:9" ht="25.5" customHeight="1" thickBot="1" x14ac:dyDescent="0.25">
      <c r="A518" s="105"/>
      <c r="B518" s="199" t="s">
        <v>368</v>
      </c>
      <c r="C518" s="200"/>
      <c r="D518" s="200"/>
      <c r="E518" s="201"/>
      <c r="I518" s="104"/>
    </row>
    <row r="519" spans="1:9" x14ac:dyDescent="0.2">
      <c r="A519" s="105"/>
      <c r="B519" s="135" t="s">
        <v>18</v>
      </c>
      <c r="C519" s="105"/>
      <c r="D519" s="140"/>
      <c r="E519" s="134"/>
      <c r="I519" s="104"/>
    </row>
    <row r="520" spans="1:9" x14ac:dyDescent="0.2">
      <c r="A520" s="105"/>
      <c r="B520" s="146"/>
      <c r="C520" s="193" t="s">
        <v>24</v>
      </c>
      <c r="D520" s="193"/>
      <c r="E520" s="193"/>
      <c r="I520" s="104"/>
    </row>
    <row r="521" spans="1:9" x14ac:dyDescent="0.2">
      <c r="A521" s="105"/>
      <c r="B521" s="135" t="s">
        <v>19</v>
      </c>
      <c r="C521" s="150"/>
      <c r="D521" s="150"/>
      <c r="E521" s="147"/>
      <c r="I521" s="104"/>
    </row>
    <row r="522" spans="1:9" x14ac:dyDescent="0.2">
      <c r="A522" s="105"/>
      <c r="B522" s="146"/>
      <c r="C522" s="193" t="s">
        <v>101</v>
      </c>
      <c r="D522" s="193"/>
      <c r="E522" s="193"/>
      <c r="I522" s="104"/>
    </row>
    <row r="523" spans="1:9" x14ac:dyDescent="0.2">
      <c r="A523" s="105"/>
      <c r="B523" s="135" t="s">
        <v>20</v>
      </c>
      <c r="C523" s="105"/>
      <c r="D523" s="140"/>
      <c r="E523" s="134"/>
      <c r="I523" s="104"/>
    </row>
    <row r="524" spans="1:9" x14ac:dyDescent="0.2">
      <c r="A524" s="105"/>
      <c r="B524" s="135"/>
      <c r="C524" s="194" t="s">
        <v>25</v>
      </c>
      <c r="D524" s="194"/>
      <c r="E524" s="194"/>
      <c r="I524" s="104"/>
    </row>
    <row r="525" spans="1:9" ht="13.5" thickBot="1" x14ac:dyDescent="0.25">
      <c r="A525" s="105"/>
      <c r="B525" s="136"/>
      <c r="C525" s="137"/>
      <c r="D525" s="138"/>
      <c r="E525" s="139"/>
      <c r="I525" s="104"/>
    </row>
    <row r="526" spans="1:9" ht="13.5" thickBot="1" x14ac:dyDescent="0.25">
      <c r="A526" s="105"/>
      <c r="B526" s="105"/>
      <c r="C526" s="105"/>
      <c r="D526" s="140"/>
      <c r="E526" s="105"/>
      <c r="I526" s="104"/>
    </row>
    <row r="527" spans="1:9" x14ac:dyDescent="0.2">
      <c r="A527" s="105"/>
      <c r="B527" s="130" t="s">
        <v>118</v>
      </c>
      <c r="C527" s="131"/>
      <c r="D527" s="132"/>
      <c r="E527" s="133"/>
      <c r="I527" s="104"/>
    </row>
    <row r="528" spans="1:9" x14ac:dyDescent="0.2">
      <c r="A528" s="105"/>
      <c r="B528" s="141"/>
      <c r="C528" s="105"/>
      <c r="D528" s="140"/>
      <c r="E528" s="134"/>
      <c r="I528" s="104"/>
    </row>
    <row r="529" spans="1:9" x14ac:dyDescent="0.2">
      <c r="A529" s="105"/>
      <c r="B529" s="135" t="s">
        <v>16</v>
      </c>
      <c r="C529" s="105"/>
      <c r="D529" s="140"/>
      <c r="E529" s="134"/>
      <c r="I529" s="104"/>
    </row>
    <row r="530" spans="1:9" x14ac:dyDescent="0.2">
      <c r="A530" s="105"/>
      <c r="B530" s="135"/>
      <c r="C530" s="207" t="s">
        <v>447</v>
      </c>
      <c r="D530" s="207"/>
      <c r="E530" s="207"/>
      <c r="I530" s="104"/>
    </row>
    <row r="531" spans="1:9" ht="13.5" thickBot="1" x14ac:dyDescent="0.25">
      <c r="A531" s="105"/>
      <c r="B531" s="135" t="s">
        <v>17</v>
      </c>
      <c r="C531" s="105"/>
      <c r="D531" s="140"/>
      <c r="E531" s="134"/>
      <c r="I531" s="104"/>
    </row>
    <row r="532" spans="1:9" ht="13.5" thickBot="1" x14ac:dyDescent="0.25">
      <c r="A532" s="105"/>
      <c r="B532" s="202" t="s">
        <v>98</v>
      </c>
      <c r="C532" s="203"/>
      <c r="D532" s="203"/>
      <c r="E532" s="204"/>
      <c r="I532" s="104"/>
    </row>
    <row r="533" spans="1:9" ht="13.5" thickBot="1" x14ac:dyDescent="0.25">
      <c r="A533" s="105"/>
      <c r="B533" s="202" t="s">
        <v>264</v>
      </c>
      <c r="C533" s="204"/>
      <c r="D533" s="142" t="s">
        <v>11</v>
      </c>
      <c r="E533" s="142" t="s">
        <v>100</v>
      </c>
      <c r="I533" s="104"/>
    </row>
    <row r="534" spans="1:9" x14ac:dyDescent="0.2">
      <c r="A534" s="105"/>
      <c r="B534" s="205" t="s">
        <v>265</v>
      </c>
      <c r="C534" s="205"/>
      <c r="D534" s="143">
        <v>3</v>
      </c>
      <c r="E534" s="148" t="s">
        <v>293</v>
      </c>
      <c r="I534" s="104"/>
    </row>
    <row r="535" spans="1:9" x14ac:dyDescent="0.2">
      <c r="A535" s="105"/>
      <c r="B535" s="206" t="s">
        <v>266</v>
      </c>
      <c r="C535" s="206"/>
      <c r="D535" s="144">
        <v>6</v>
      </c>
      <c r="E535" s="149" t="s">
        <v>295</v>
      </c>
      <c r="I535" s="104"/>
    </row>
    <row r="536" spans="1:9" x14ac:dyDescent="0.2">
      <c r="A536" s="105"/>
      <c r="B536" s="206" t="s">
        <v>267</v>
      </c>
      <c r="C536" s="206"/>
      <c r="D536" s="144">
        <v>6</v>
      </c>
      <c r="E536" s="149" t="s">
        <v>296</v>
      </c>
      <c r="I536" s="104"/>
    </row>
    <row r="537" spans="1:9" x14ac:dyDescent="0.2">
      <c r="A537" s="105"/>
      <c r="B537" s="206" t="s">
        <v>269</v>
      </c>
      <c r="C537" s="206"/>
      <c r="D537" s="144">
        <v>15</v>
      </c>
      <c r="E537" s="149" t="s">
        <v>294</v>
      </c>
      <c r="I537" s="104"/>
    </row>
    <row r="538" spans="1:9" x14ac:dyDescent="0.2">
      <c r="A538" s="105"/>
      <c r="B538" s="206" t="s">
        <v>270</v>
      </c>
      <c r="C538" s="206"/>
      <c r="D538" s="144">
        <v>0</v>
      </c>
      <c r="E538" s="145" t="s">
        <v>360</v>
      </c>
      <c r="I538" s="104"/>
    </row>
    <row r="539" spans="1:9" x14ac:dyDescent="0.2">
      <c r="A539" s="105"/>
      <c r="B539" s="195" t="s">
        <v>268</v>
      </c>
      <c r="C539" s="196"/>
      <c r="D539" s="144">
        <v>1</v>
      </c>
      <c r="E539" s="149" t="s">
        <v>297</v>
      </c>
      <c r="I539" s="104"/>
    </row>
    <row r="540" spans="1:9" s="105" customFormat="1" x14ac:dyDescent="0.2">
      <c r="B540" s="197" t="s">
        <v>365</v>
      </c>
      <c r="C540" s="198"/>
      <c r="D540" s="144">
        <v>5</v>
      </c>
      <c r="E540" s="145" t="s">
        <v>426</v>
      </c>
      <c r="G540" s="173"/>
      <c r="H540" s="170"/>
      <c r="I540" s="112"/>
    </row>
    <row r="541" spans="1:9" s="105" customFormat="1" ht="13.5" thickBot="1" x14ac:dyDescent="0.25">
      <c r="B541" s="195" t="s">
        <v>366</v>
      </c>
      <c r="C541" s="196"/>
      <c r="D541" s="144">
        <v>2</v>
      </c>
      <c r="E541" s="145" t="s">
        <v>427</v>
      </c>
      <c r="G541" s="173"/>
      <c r="H541" s="170"/>
      <c r="I541" s="112"/>
    </row>
    <row r="542" spans="1:9" ht="25.5" customHeight="1" thickBot="1" x14ac:dyDescent="0.25">
      <c r="A542" s="105"/>
      <c r="B542" s="199" t="s">
        <v>376</v>
      </c>
      <c r="C542" s="200"/>
      <c r="D542" s="200"/>
      <c r="E542" s="201"/>
      <c r="I542" s="104"/>
    </row>
    <row r="543" spans="1:9" x14ac:dyDescent="0.2">
      <c r="A543" s="105"/>
      <c r="B543" s="135" t="s">
        <v>18</v>
      </c>
      <c r="C543" s="105"/>
      <c r="D543" s="140"/>
      <c r="E543" s="134"/>
      <c r="I543" s="104"/>
    </row>
    <row r="544" spans="1:9" x14ac:dyDescent="0.2">
      <c r="A544" s="105"/>
      <c r="B544" s="146"/>
      <c r="C544" s="193" t="s">
        <v>24</v>
      </c>
      <c r="D544" s="193"/>
      <c r="E544" s="193"/>
      <c r="I544" s="104"/>
    </row>
    <row r="545" spans="1:9" x14ac:dyDescent="0.2">
      <c r="A545" s="105"/>
      <c r="B545" s="135" t="s">
        <v>19</v>
      </c>
      <c r="C545" s="150"/>
      <c r="D545" s="150"/>
      <c r="E545" s="147"/>
      <c r="I545" s="104"/>
    </row>
    <row r="546" spans="1:9" x14ac:dyDescent="0.2">
      <c r="A546" s="105"/>
      <c r="B546" s="146"/>
      <c r="C546" s="193" t="s">
        <v>101</v>
      </c>
      <c r="D546" s="193"/>
      <c r="E546" s="193"/>
      <c r="I546" s="104"/>
    </row>
    <row r="547" spans="1:9" x14ac:dyDescent="0.2">
      <c r="A547" s="105"/>
      <c r="B547" s="135" t="s">
        <v>20</v>
      </c>
      <c r="C547" s="105"/>
      <c r="D547" s="140"/>
      <c r="E547" s="134"/>
      <c r="I547" s="104"/>
    </row>
    <row r="548" spans="1:9" x14ac:dyDescent="0.2">
      <c r="A548" s="105"/>
      <c r="B548" s="135"/>
      <c r="C548" s="194" t="s">
        <v>25</v>
      </c>
      <c r="D548" s="194"/>
      <c r="E548" s="194"/>
      <c r="I548" s="104"/>
    </row>
    <row r="549" spans="1:9" ht="13.5" thickBot="1" x14ac:dyDescent="0.25">
      <c r="A549" s="105"/>
      <c r="B549" s="136"/>
      <c r="C549" s="137"/>
      <c r="D549" s="138"/>
      <c r="E549" s="139"/>
      <c r="I549" s="104"/>
    </row>
    <row r="550" spans="1:9" ht="13.5" thickBot="1" x14ac:dyDescent="0.25">
      <c r="A550" s="105"/>
      <c r="B550" s="105"/>
      <c r="C550" s="105"/>
      <c r="D550" s="140"/>
      <c r="E550" s="105"/>
      <c r="I550" s="104"/>
    </row>
    <row r="551" spans="1:9" x14ac:dyDescent="0.2">
      <c r="A551" s="105"/>
      <c r="B551" s="130" t="s">
        <v>119</v>
      </c>
      <c r="C551" s="131"/>
      <c r="D551" s="132"/>
      <c r="E551" s="133"/>
      <c r="I551" s="104"/>
    </row>
    <row r="552" spans="1:9" x14ac:dyDescent="0.2">
      <c r="A552" s="105"/>
      <c r="B552" s="141"/>
      <c r="C552" s="105"/>
      <c r="D552" s="140"/>
      <c r="E552" s="134"/>
      <c r="I552" s="104"/>
    </row>
    <row r="553" spans="1:9" x14ac:dyDescent="0.2">
      <c r="A553" s="105"/>
      <c r="B553" s="135" t="s">
        <v>16</v>
      </c>
      <c r="C553" s="105"/>
      <c r="D553" s="140"/>
      <c r="E553" s="134"/>
      <c r="I553" s="104"/>
    </row>
    <row r="554" spans="1:9" x14ac:dyDescent="0.2">
      <c r="A554" s="105"/>
      <c r="B554" s="135"/>
      <c r="C554" s="207" t="s">
        <v>452</v>
      </c>
      <c r="D554" s="207"/>
      <c r="E554" s="207"/>
      <c r="I554" s="104"/>
    </row>
    <row r="555" spans="1:9" ht="13.5" thickBot="1" x14ac:dyDescent="0.25">
      <c r="A555" s="105"/>
      <c r="B555" s="135" t="s">
        <v>17</v>
      </c>
      <c r="C555" s="105"/>
      <c r="D555" s="140"/>
      <c r="E555" s="134"/>
      <c r="I555" s="104"/>
    </row>
    <row r="556" spans="1:9" ht="13.5" thickBot="1" x14ac:dyDescent="0.25">
      <c r="A556" s="105"/>
      <c r="B556" s="202" t="s">
        <v>98</v>
      </c>
      <c r="C556" s="203"/>
      <c r="D556" s="203"/>
      <c r="E556" s="204"/>
      <c r="I556" s="104"/>
    </row>
    <row r="557" spans="1:9" ht="13.5" thickBot="1" x14ac:dyDescent="0.25">
      <c r="A557" s="105"/>
      <c r="B557" s="202" t="s">
        <v>264</v>
      </c>
      <c r="C557" s="204"/>
      <c r="D557" s="142" t="s">
        <v>11</v>
      </c>
      <c r="E557" s="142" t="s">
        <v>100</v>
      </c>
      <c r="I557" s="104"/>
    </row>
    <row r="558" spans="1:9" x14ac:dyDescent="0.2">
      <c r="A558" s="105"/>
      <c r="B558" s="205" t="s">
        <v>265</v>
      </c>
      <c r="C558" s="205"/>
      <c r="D558" s="143">
        <v>1</v>
      </c>
      <c r="E558" s="148" t="s">
        <v>293</v>
      </c>
      <c r="I558" s="104"/>
    </row>
    <row r="559" spans="1:9" x14ac:dyDescent="0.2">
      <c r="A559" s="105"/>
      <c r="B559" s="206" t="s">
        <v>266</v>
      </c>
      <c r="C559" s="206"/>
      <c r="D559" s="144">
        <v>0</v>
      </c>
      <c r="E559" s="149" t="s">
        <v>295</v>
      </c>
      <c r="I559" s="104"/>
    </row>
    <row r="560" spans="1:9" x14ac:dyDescent="0.2">
      <c r="A560" s="105"/>
      <c r="B560" s="206" t="s">
        <v>267</v>
      </c>
      <c r="C560" s="206"/>
      <c r="D560" s="144">
        <v>1</v>
      </c>
      <c r="E560" s="149" t="s">
        <v>296</v>
      </c>
      <c r="I560" s="104"/>
    </row>
    <row r="561" spans="1:9" x14ac:dyDescent="0.2">
      <c r="A561" s="105"/>
      <c r="B561" s="206" t="s">
        <v>269</v>
      </c>
      <c r="C561" s="206"/>
      <c r="D561" s="144">
        <v>3</v>
      </c>
      <c r="E561" s="149" t="s">
        <v>294</v>
      </c>
      <c r="I561" s="104"/>
    </row>
    <row r="562" spans="1:9" x14ac:dyDescent="0.2">
      <c r="A562" s="105"/>
      <c r="B562" s="206" t="s">
        <v>270</v>
      </c>
      <c r="C562" s="206"/>
      <c r="D562" s="144">
        <v>0</v>
      </c>
      <c r="E562" s="145" t="s">
        <v>360</v>
      </c>
      <c r="I562" s="104"/>
    </row>
    <row r="563" spans="1:9" x14ac:dyDescent="0.2">
      <c r="A563" s="105"/>
      <c r="B563" s="195" t="s">
        <v>268</v>
      </c>
      <c r="C563" s="196"/>
      <c r="D563" s="144">
        <v>1</v>
      </c>
      <c r="E563" s="149" t="s">
        <v>297</v>
      </c>
      <c r="I563" s="104"/>
    </row>
    <row r="564" spans="1:9" s="105" customFormat="1" x14ac:dyDescent="0.2">
      <c r="B564" s="197" t="s">
        <v>365</v>
      </c>
      <c r="C564" s="198"/>
      <c r="D564" s="144">
        <v>0</v>
      </c>
      <c r="E564" s="145" t="s">
        <v>426</v>
      </c>
      <c r="G564" s="173"/>
      <c r="H564" s="170"/>
      <c r="I564" s="112"/>
    </row>
    <row r="565" spans="1:9" s="105" customFormat="1" ht="13.5" thickBot="1" x14ac:dyDescent="0.25">
      <c r="B565" s="195" t="s">
        <v>366</v>
      </c>
      <c r="C565" s="196"/>
      <c r="D565" s="144">
        <v>6</v>
      </c>
      <c r="E565" s="145" t="s">
        <v>427</v>
      </c>
      <c r="G565" s="173"/>
      <c r="H565" s="170"/>
      <c r="I565" s="112"/>
    </row>
    <row r="566" spans="1:9" ht="25.5" customHeight="1" thickBot="1" x14ac:dyDescent="0.25">
      <c r="A566" s="105"/>
      <c r="B566" s="199" t="s">
        <v>476</v>
      </c>
      <c r="C566" s="200"/>
      <c r="D566" s="200"/>
      <c r="E566" s="201"/>
      <c r="I566" s="104"/>
    </row>
    <row r="567" spans="1:9" x14ac:dyDescent="0.2">
      <c r="A567" s="105"/>
      <c r="B567" s="135" t="s">
        <v>18</v>
      </c>
      <c r="C567" s="105"/>
      <c r="D567" s="140"/>
      <c r="E567" s="134"/>
      <c r="I567" s="104"/>
    </row>
    <row r="568" spans="1:9" x14ac:dyDescent="0.2">
      <c r="A568" s="105"/>
      <c r="B568" s="146"/>
      <c r="C568" s="193" t="s">
        <v>24</v>
      </c>
      <c r="D568" s="193"/>
      <c r="E568" s="193"/>
      <c r="I568" s="104"/>
    </row>
    <row r="569" spans="1:9" x14ac:dyDescent="0.2">
      <c r="A569" s="105"/>
      <c r="B569" s="135" t="s">
        <v>19</v>
      </c>
      <c r="C569" s="150"/>
      <c r="D569" s="150"/>
      <c r="E569" s="147"/>
      <c r="I569" s="104"/>
    </row>
    <row r="570" spans="1:9" x14ac:dyDescent="0.2">
      <c r="A570" s="105"/>
      <c r="B570" s="146"/>
      <c r="C570" s="193" t="s">
        <v>101</v>
      </c>
      <c r="D570" s="193"/>
      <c r="E570" s="193"/>
      <c r="I570" s="104"/>
    </row>
    <row r="571" spans="1:9" x14ac:dyDescent="0.2">
      <c r="A571" s="105"/>
      <c r="B571" s="135" t="s">
        <v>20</v>
      </c>
      <c r="C571" s="105"/>
      <c r="D571" s="140"/>
      <c r="E571" s="134"/>
      <c r="I571" s="104"/>
    </row>
    <row r="572" spans="1:9" x14ac:dyDescent="0.2">
      <c r="A572" s="105"/>
      <c r="B572" s="135"/>
      <c r="C572" s="194" t="s">
        <v>25</v>
      </c>
      <c r="D572" s="194"/>
      <c r="E572" s="194"/>
      <c r="I572" s="104"/>
    </row>
    <row r="573" spans="1:9" ht="13.5" thickBot="1" x14ac:dyDescent="0.25">
      <c r="A573" s="105"/>
      <c r="B573" s="136"/>
      <c r="C573" s="137"/>
      <c r="D573" s="138"/>
      <c r="E573" s="139"/>
      <c r="I573" s="104"/>
    </row>
    <row r="574" spans="1:9" ht="13.5" thickBot="1" x14ac:dyDescent="0.25">
      <c r="A574" s="105"/>
      <c r="B574" s="105"/>
      <c r="C574" s="105"/>
      <c r="D574" s="140"/>
      <c r="E574" s="105"/>
      <c r="I574" s="104"/>
    </row>
    <row r="575" spans="1:9" x14ac:dyDescent="0.2">
      <c r="A575" s="105"/>
      <c r="B575" s="130" t="s">
        <v>120</v>
      </c>
      <c r="C575" s="131"/>
      <c r="D575" s="132"/>
      <c r="E575" s="133"/>
      <c r="I575" s="104"/>
    </row>
    <row r="576" spans="1:9" x14ac:dyDescent="0.2">
      <c r="A576" s="105"/>
      <c r="B576" s="141"/>
      <c r="C576" s="105"/>
      <c r="D576" s="140"/>
      <c r="E576" s="134"/>
      <c r="I576" s="104"/>
    </row>
    <row r="577" spans="1:9" x14ac:dyDescent="0.2">
      <c r="A577" s="105"/>
      <c r="B577" s="135" t="s">
        <v>16</v>
      </c>
      <c r="C577" s="105"/>
      <c r="D577" s="140"/>
      <c r="E577" s="134"/>
      <c r="I577" s="104"/>
    </row>
    <row r="578" spans="1:9" x14ac:dyDescent="0.2">
      <c r="A578" s="105"/>
      <c r="B578" s="135"/>
      <c r="C578" s="210" t="s">
        <v>448</v>
      </c>
      <c r="D578" s="210"/>
      <c r="E578" s="211"/>
      <c r="I578" s="104"/>
    </row>
    <row r="579" spans="1:9" ht="13.5" thickBot="1" x14ac:dyDescent="0.25">
      <c r="A579" s="105"/>
      <c r="B579" s="135" t="s">
        <v>17</v>
      </c>
      <c r="C579" s="105"/>
      <c r="D579" s="140"/>
      <c r="E579" s="134"/>
      <c r="I579" s="104"/>
    </row>
    <row r="580" spans="1:9" ht="13.5" thickBot="1" x14ac:dyDescent="0.25">
      <c r="A580" s="105"/>
      <c r="B580" s="202" t="s">
        <v>98</v>
      </c>
      <c r="C580" s="203"/>
      <c r="D580" s="203"/>
      <c r="E580" s="204"/>
      <c r="I580" s="104"/>
    </row>
    <row r="581" spans="1:9" ht="13.5" thickBot="1" x14ac:dyDescent="0.25">
      <c r="A581" s="105"/>
      <c r="B581" s="202" t="s">
        <v>264</v>
      </c>
      <c r="C581" s="204"/>
      <c r="D581" s="142" t="s">
        <v>11</v>
      </c>
      <c r="E581" s="142" t="s">
        <v>100</v>
      </c>
      <c r="I581" s="104"/>
    </row>
    <row r="582" spans="1:9" x14ac:dyDescent="0.2">
      <c r="A582" s="105"/>
      <c r="B582" s="205" t="s">
        <v>265</v>
      </c>
      <c r="C582" s="205"/>
      <c r="D582" s="143">
        <v>3</v>
      </c>
      <c r="E582" s="148" t="s">
        <v>293</v>
      </c>
      <c r="I582" s="104"/>
    </row>
    <row r="583" spans="1:9" x14ac:dyDescent="0.2">
      <c r="A583" s="105"/>
      <c r="B583" s="206" t="s">
        <v>266</v>
      </c>
      <c r="C583" s="206"/>
      <c r="D583" s="144">
        <v>4</v>
      </c>
      <c r="E583" s="149" t="s">
        <v>295</v>
      </c>
      <c r="I583" s="104"/>
    </row>
    <row r="584" spans="1:9" x14ac:dyDescent="0.2">
      <c r="A584" s="105"/>
      <c r="B584" s="206" t="s">
        <v>267</v>
      </c>
      <c r="C584" s="206"/>
      <c r="D584" s="144">
        <v>3</v>
      </c>
      <c r="E584" s="149" t="s">
        <v>296</v>
      </c>
      <c r="I584" s="104"/>
    </row>
    <row r="585" spans="1:9" x14ac:dyDescent="0.2">
      <c r="A585" s="105"/>
      <c r="B585" s="206" t="s">
        <v>269</v>
      </c>
      <c r="C585" s="206"/>
      <c r="D585" s="144">
        <v>6</v>
      </c>
      <c r="E585" s="149" t="s">
        <v>294</v>
      </c>
      <c r="I585" s="104"/>
    </row>
    <row r="586" spans="1:9" x14ac:dyDescent="0.2">
      <c r="A586" s="105"/>
      <c r="B586" s="206" t="s">
        <v>270</v>
      </c>
      <c r="C586" s="206"/>
      <c r="D586" s="144">
        <v>0</v>
      </c>
      <c r="E586" s="145" t="s">
        <v>360</v>
      </c>
      <c r="I586" s="104"/>
    </row>
    <row r="587" spans="1:9" x14ac:dyDescent="0.2">
      <c r="A587" s="105"/>
      <c r="B587" s="195" t="s">
        <v>268</v>
      </c>
      <c r="C587" s="196"/>
      <c r="D587" s="144">
        <v>1</v>
      </c>
      <c r="E587" s="149" t="s">
        <v>297</v>
      </c>
      <c r="I587" s="104"/>
    </row>
    <row r="588" spans="1:9" s="105" customFormat="1" x14ac:dyDescent="0.2">
      <c r="B588" s="197" t="s">
        <v>365</v>
      </c>
      <c r="C588" s="198"/>
      <c r="D588" s="144">
        <v>4</v>
      </c>
      <c r="E588" s="145" t="s">
        <v>426</v>
      </c>
      <c r="G588" s="173"/>
      <c r="H588" s="170"/>
      <c r="I588" s="112"/>
    </row>
    <row r="589" spans="1:9" s="105" customFormat="1" ht="13.5" thickBot="1" x14ac:dyDescent="0.25">
      <c r="B589" s="195" t="s">
        <v>366</v>
      </c>
      <c r="C589" s="196"/>
      <c r="D589" s="144">
        <v>2</v>
      </c>
      <c r="E589" s="145" t="s">
        <v>427</v>
      </c>
      <c r="G589" s="173"/>
      <c r="H589" s="170"/>
      <c r="I589" s="112"/>
    </row>
    <row r="590" spans="1:9" ht="25.5" customHeight="1" thickBot="1" x14ac:dyDescent="0.25">
      <c r="A590" s="105"/>
      <c r="B590" s="199" t="s">
        <v>477</v>
      </c>
      <c r="C590" s="200"/>
      <c r="D590" s="200"/>
      <c r="E590" s="201"/>
      <c r="I590" s="104"/>
    </row>
    <row r="591" spans="1:9" x14ac:dyDescent="0.2">
      <c r="A591" s="105"/>
      <c r="B591" s="135" t="s">
        <v>18</v>
      </c>
      <c r="C591" s="105"/>
      <c r="D591" s="140"/>
      <c r="E591" s="134"/>
      <c r="I591" s="104"/>
    </row>
    <row r="592" spans="1:9" x14ac:dyDescent="0.2">
      <c r="A592" s="105"/>
      <c r="B592" s="146"/>
      <c r="C592" s="193" t="s">
        <v>24</v>
      </c>
      <c r="D592" s="193"/>
      <c r="E592" s="193"/>
      <c r="I592" s="104"/>
    </row>
    <row r="593" spans="1:9" x14ac:dyDescent="0.2">
      <c r="A593" s="105"/>
      <c r="B593" s="135" t="s">
        <v>19</v>
      </c>
      <c r="C593" s="150"/>
      <c r="D593" s="150"/>
      <c r="E593" s="147"/>
      <c r="I593" s="104"/>
    </row>
    <row r="594" spans="1:9" x14ac:dyDescent="0.2">
      <c r="A594" s="105"/>
      <c r="B594" s="146"/>
      <c r="C594" s="193" t="s">
        <v>101</v>
      </c>
      <c r="D594" s="193"/>
      <c r="E594" s="193"/>
      <c r="I594" s="104"/>
    </row>
    <row r="595" spans="1:9" x14ac:dyDescent="0.2">
      <c r="A595" s="105"/>
      <c r="B595" s="135" t="s">
        <v>20</v>
      </c>
      <c r="C595" s="105"/>
      <c r="D595" s="140"/>
      <c r="E595" s="134"/>
      <c r="I595" s="104"/>
    </row>
    <row r="596" spans="1:9" x14ac:dyDescent="0.2">
      <c r="A596" s="105"/>
      <c r="B596" s="135"/>
      <c r="C596" s="194" t="s">
        <v>25</v>
      </c>
      <c r="D596" s="194"/>
      <c r="E596" s="194"/>
      <c r="I596" s="104"/>
    </row>
    <row r="597" spans="1:9" ht="13.5" thickBot="1" x14ac:dyDescent="0.25">
      <c r="A597" s="105"/>
      <c r="B597" s="136"/>
      <c r="C597" s="137"/>
      <c r="D597" s="138"/>
      <c r="E597" s="139"/>
      <c r="I597" s="104"/>
    </row>
    <row r="598" spans="1:9" x14ac:dyDescent="0.2">
      <c r="A598" s="105"/>
      <c r="B598" s="105"/>
      <c r="C598" s="105"/>
      <c r="D598" s="140"/>
      <c r="E598" s="105"/>
      <c r="I598" s="104"/>
    </row>
    <row r="599" spans="1:9" ht="13.5" thickBot="1" x14ac:dyDescent="0.25">
      <c r="A599" s="105"/>
      <c r="B599" s="105"/>
      <c r="C599" s="105"/>
      <c r="D599" s="140"/>
      <c r="E599" s="105"/>
      <c r="I599" s="104"/>
    </row>
    <row r="600" spans="1:9" x14ac:dyDescent="0.2">
      <c r="A600" s="105"/>
      <c r="B600" s="130" t="s">
        <v>121</v>
      </c>
      <c r="C600" s="131"/>
      <c r="D600" s="132"/>
      <c r="E600" s="133"/>
      <c r="I600" s="104"/>
    </row>
    <row r="601" spans="1:9" x14ac:dyDescent="0.2">
      <c r="A601" s="105"/>
      <c r="B601" s="141"/>
      <c r="C601" s="208"/>
      <c r="D601" s="208"/>
      <c r="E601" s="194"/>
      <c r="I601" s="104"/>
    </row>
    <row r="602" spans="1:9" x14ac:dyDescent="0.2">
      <c r="A602" s="105"/>
      <c r="B602" s="135" t="s">
        <v>16</v>
      </c>
      <c r="C602" s="210"/>
      <c r="D602" s="210"/>
      <c r="E602" s="211"/>
      <c r="I602" s="104"/>
    </row>
    <row r="603" spans="1:9" x14ac:dyDescent="0.2">
      <c r="A603" s="105"/>
      <c r="B603" s="135"/>
      <c r="C603" s="193"/>
      <c r="D603" s="193"/>
      <c r="E603" s="193"/>
      <c r="I603" s="104"/>
    </row>
    <row r="604" spans="1:9" ht="13.5" thickBot="1" x14ac:dyDescent="0.25">
      <c r="A604" s="105"/>
      <c r="B604" s="135" t="s">
        <v>17</v>
      </c>
      <c r="C604" s="105"/>
      <c r="D604" s="140"/>
      <c r="E604" s="134"/>
      <c r="I604" s="104"/>
    </row>
    <row r="605" spans="1:9" ht="13.5" thickBot="1" x14ac:dyDescent="0.25">
      <c r="A605" s="105"/>
      <c r="B605" s="202" t="s">
        <v>98</v>
      </c>
      <c r="C605" s="203"/>
      <c r="D605" s="203"/>
      <c r="E605" s="204"/>
      <c r="I605" s="104"/>
    </row>
    <row r="606" spans="1:9" ht="13.5" thickBot="1" x14ac:dyDescent="0.25">
      <c r="A606" s="105"/>
      <c r="B606" s="202" t="s">
        <v>264</v>
      </c>
      <c r="C606" s="204"/>
      <c r="D606" s="142" t="s">
        <v>11</v>
      </c>
      <c r="E606" s="142" t="s">
        <v>100</v>
      </c>
      <c r="I606" s="104"/>
    </row>
    <row r="607" spans="1:9" x14ac:dyDescent="0.2">
      <c r="A607" s="105"/>
      <c r="B607" s="205" t="s">
        <v>265</v>
      </c>
      <c r="C607" s="205"/>
      <c r="D607" s="143">
        <v>5</v>
      </c>
      <c r="E607" s="148" t="s">
        <v>293</v>
      </c>
      <c r="I607" s="104"/>
    </row>
    <row r="608" spans="1:9" x14ac:dyDescent="0.2">
      <c r="A608" s="105"/>
      <c r="B608" s="206" t="s">
        <v>266</v>
      </c>
      <c r="C608" s="206"/>
      <c r="D608" s="144">
        <v>6</v>
      </c>
      <c r="E608" s="149" t="s">
        <v>295</v>
      </c>
      <c r="I608" s="104"/>
    </row>
    <row r="609" spans="1:9" x14ac:dyDescent="0.2">
      <c r="A609" s="105"/>
      <c r="B609" s="206" t="s">
        <v>267</v>
      </c>
      <c r="C609" s="206"/>
      <c r="D609" s="144">
        <v>5</v>
      </c>
      <c r="E609" s="149" t="s">
        <v>296</v>
      </c>
      <c r="I609" s="104"/>
    </row>
    <row r="610" spans="1:9" x14ac:dyDescent="0.2">
      <c r="A610" s="105"/>
      <c r="B610" s="206" t="s">
        <v>269</v>
      </c>
      <c r="C610" s="206"/>
      <c r="D610" s="144">
        <v>0</v>
      </c>
      <c r="E610" s="149" t="s">
        <v>294</v>
      </c>
      <c r="I610" s="104"/>
    </row>
    <row r="611" spans="1:9" x14ac:dyDescent="0.2">
      <c r="A611" s="105"/>
      <c r="B611" s="206" t="s">
        <v>270</v>
      </c>
      <c r="C611" s="206"/>
      <c r="D611" s="144">
        <v>0</v>
      </c>
      <c r="E611" s="145" t="s">
        <v>360</v>
      </c>
      <c r="I611" s="104"/>
    </row>
    <row r="612" spans="1:9" x14ac:dyDescent="0.2">
      <c r="A612" s="105"/>
      <c r="B612" s="195" t="s">
        <v>268</v>
      </c>
      <c r="C612" s="196"/>
      <c r="D612" s="144">
        <v>0</v>
      </c>
      <c r="E612" s="149" t="s">
        <v>297</v>
      </c>
      <c r="I612" s="104"/>
    </row>
    <row r="613" spans="1:9" s="105" customFormat="1" x14ac:dyDescent="0.2">
      <c r="B613" s="197" t="s">
        <v>365</v>
      </c>
      <c r="C613" s="198"/>
      <c r="D613" s="144">
        <v>2</v>
      </c>
      <c r="E613" s="145" t="s">
        <v>426</v>
      </c>
      <c r="G613" s="173"/>
      <c r="H613" s="170"/>
      <c r="I613" s="112"/>
    </row>
    <row r="614" spans="1:9" s="105" customFormat="1" ht="13.5" thickBot="1" x14ac:dyDescent="0.25">
      <c r="B614" s="195" t="s">
        <v>366</v>
      </c>
      <c r="C614" s="196"/>
      <c r="D614" s="144">
        <v>2</v>
      </c>
      <c r="E614" s="145" t="s">
        <v>427</v>
      </c>
      <c r="G614" s="173"/>
      <c r="H614" s="170"/>
      <c r="I614" s="112"/>
    </row>
    <row r="615" spans="1:9" ht="27" customHeight="1" thickBot="1" x14ac:dyDescent="0.25">
      <c r="A615" s="105"/>
      <c r="B615" s="199" t="s">
        <v>439</v>
      </c>
      <c r="C615" s="200"/>
      <c r="D615" s="200"/>
      <c r="E615" s="201"/>
      <c r="I615" s="104"/>
    </row>
    <row r="616" spans="1:9" x14ac:dyDescent="0.2">
      <c r="A616" s="105"/>
      <c r="B616" s="135" t="s">
        <v>18</v>
      </c>
      <c r="C616" s="105"/>
      <c r="D616" s="140"/>
      <c r="E616" s="134"/>
      <c r="I616" s="104"/>
    </row>
    <row r="617" spans="1:9" x14ac:dyDescent="0.2">
      <c r="A617" s="105"/>
      <c r="B617" s="146"/>
      <c r="C617" s="193" t="s">
        <v>24</v>
      </c>
      <c r="D617" s="193"/>
      <c r="E617" s="193"/>
      <c r="I617" s="104"/>
    </row>
    <row r="618" spans="1:9" x14ac:dyDescent="0.2">
      <c r="A618" s="105"/>
      <c r="B618" s="135" t="s">
        <v>19</v>
      </c>
      <c r="C618" s="150"/>
      <c r="D618" s="150"/>
      <c r="E618" s="147"/>
      <c r="I618" s="104"/>
    </row>
    <row r="619" spans="1:9" x14ac:dyDescent="0.2">
      <c r="A619" s="105"/>
      <c r="B619" s="146"/>
      <c r="C619" s="193" t="s">
        <v>101</v>
      </c>
      <c r="D619" s="193"/>
      <c r="E619" s="193"/>
      <c r="I619" s="104"/>
    </row>
    <row r="620" spans="1:9" x14ac:dyDescent="0.2">
      <c r="A620" s="105"/>
      <c r="B620" s="135" t="s">
        <v>20</v>
      </c>
      <c r="C620" s="105"/>
      <c r="D620" s="140"/>
      <c r="E620" s="134"/>
      <c r="I620" s="104"/>
    </row>
    <row r="621" spans="1:9" x14ac:dyDescent="0.2">
      <c r="A621" s="105"/>
      <c r="B621" s="135"/>
      <c r="C621" s="194" t="s">
        <v>25</v>
      </c>
      <c r="D621" s="194"/>
      <c r="E621" s="194"/>
      <c r="I621" s="104"/>
    </row>
    <row r="622" spans="1:9" ht="13.5" thickBot="1" x14ac:dyDescent="0.25">
      <c r="A622" s="105"/>
      <c r="B622" s="136"/>
      <c r="C622" s="137"/>
      <c r="D622" s="138"/>
      <c r="E622" s="139"/>
      <c r="I622" s="104"/>
    </row>
    <row r="623" spans="1:9" ht="13.5" thickBot="1" x14ac:dyDescent="0.25">
      <c r="A623" s="105"/>
      <c r="B623" s="105"/>
      <c r="C623" s="105"/>
      <c r="D623" s="140"/>
      <c r="E623" s="105"/>
      <c r="I623" s="104"/>
    </row>
    <row r="624" spans="1:9" x14ac:dyDescent="0.2">
      <c r="A624" s="105"/>
      <c r="B624" s="130" t="s">
        <v>122</v>
      </c>
      <c r="C624" s="131"/>
      <c r="D624" s="132"/>
      <c r="E624" s="133"/>
      <c r="I624" s="104"/>
    </row>
    <row r="625" spans="1:9" x14ac:dyDescent="0.2">
      <c r="A625" s="105"/>
      <c r="B625" s="141"/>
      <c r="C625" s="209"/>
      <c r="D625" s="209"/>
      <c r="E625" s="193"/>
      <c r="I625" s="104"/>
    </row>
    <row r="626" spans="1:9" x14ac:dyDescent="0.2">
      <c r="A626" s="105"/>
      <c r="B626" s="135" t="s">
        <v>16</v>
      </c>
      <c r="C626" s="105"/>
      <c r="D626" s="140"/>
      <c r="E626" s="134"/>
      <c r="I626" s="104"/>
    </row>
    <row r="627" spans="1:9" x14ac:dyDescent="0.2">
      <c r="A627" s="105"/>
      <c r="B627" s="135"/>
      <c r="C627" s="207" t="s">
        <v>464</v>
      </c>
      <c r="D627" s="207"/>
      <c r="E627" s="207"/>
      <c r="I627" s="104"/>
    </row>
    <row r="628" spans="1:9" ht="13.5" thickBot="1" x14ac:dyDescent="0.25">
      <c r="A628" s="105"/>
      <c r="B628" s="135" t="s">
        <v>17</v>
      </c>
      <c r="C628" s="105"/>
      <c r="D628" s="140"/>
      <c r="E628" s="134"/>
      <c r="I628" s="104"/>
    </row>
    <row r="629" spans="1:9" ht="13.5" thickBot="1" x14ac:dyDescent="0.25">
      <c r="A629" s="105"/>
      <c r="B629" s="202" t="s">
        <v>98</v>
      </c>
      <c r="C629" s="203"/>
      <c r="D629" s="203"/>
      <c r="E629" s="204"/>
      <c r="I629" s="104"/>
    </row>
    <row r="630" spans="1:9" ht="13.5" thickBot="1" x14ac:dyDescent="0.25">
      <c r="A630" s="105"/>
      <c r="B630" s="202" t="s">
        <v>264</v>
      </c>
      <c r="C630" s="204"/>
      <c r="D630" s="142" t="s">
        <v>11</v>
      </c>
      <c r="E630" s="142" t="s">
        <v>100</v>
      </c>
      <c r="I630" s="104"/>
    </row>
    <row r="631" spans="1:9" x14ac:dyDescent="0.2">
      <c r="A631" s="105"/>
      <c r="B631" s="205" t="s">
        <v>265</v>
      </c>
      <c r="C631" s="205"/>
      <c r="D631" s="143">
        <v>2</v>
      </c>
      <c r="E631" s="148" t="s">
        <v>293</v>
      </c>
      <c r="I631" s="104"/>
    </row>
    <row r="632" spans="1:9" x14ac:dyDescent="0.2">
      <c r="A632" s="105"/>
      <c r="B632" s="206" t="s">
        <v>266</v>
      </c>
      <c r="C632" s="206"/>
      <c r="D632" s="144">
        <v>2</v>
      </c>
      <c r="E632" s="149" t="s">
        <v>295</v>
      </c>
      <c r="I632" s="104"/>
    </row>
    <row r="633" spans="1:9" x14ac:dyDescent="0.2">
      <c r="A633" s="105"/>
      <c r="B633" s="206" t="s">
        <v>267</v>
      </c>
      <c r="C633" s="206"/>
      <c r="D633" s="144">
        <v>2</v>
      </c>
      <c r="E633" s="149" t="s">
        <v>296</v>
      </c>
      <c r="I633" s="104"/>
    </row>
    <row r="634" spans="1:9" x14ac:dyDescent="0.2">
      <c r="A634" s="105"/>
      <c r="B634" s="206" t="s">
        <v>269</v>
      </c>
      <c r="C634" s="206"/>
      <c r="D634" s="144">
        <v>2</v>
      </c>
      <c r="E634" s="149" t="s">
        <v>294</v>
      </c>
      <c r="I634" s="104"/>
    </row>
    <row r="635" spans="1:9" x14ac:dyDescent="0.2">
      <c r="A635" s="105"/>
      <c r="B635" s="206" t="s">
        <v>270</v>
      </c>
      <c r="C635" s="206"/>
      <c r="D635" s="144">
        <v>0</v>
      </c>
      <c r="E635" s="145" t="s">
        <v>360</v>
      </c>
      <c r="I635" s="104"/>
    </row>
    <row r="636" spans="1:9" x14ac:dyDescent="0.2">
      <c r="A636" s="105"/>
      <c r="B636" s="195" t="s">
        <v>268</v>
      </c>
      <c r="C636" s="196"/>
      <c r="D636" s="144">
        <v>1</v>
      </c>
      <c r="E636" s="149" t="s">
        <v>297</v>
      </c>
      <c r="I636" s="104"/>
    </row>
    <row r="637" spans="1:9" s="105" customFormat="1" x14ac:dyDescent="0.2">
      <c r="B637" s="197" t="s">
        <v>365</v>
      </c>
      <c r="C637" s="198"/>
      <c r="D637" s="144">
        <v>1</v>
      </c>
      <c r="E637" s="145" t="s">
        <v>426</v>
      </c>
      <c r="G637" s="173"/>
      <c r="H637" s="170"/>
      <c r="I637" s="112"/>
    </row>
    <row r="638" spans="1:9" s="105" customFormat="1" ht="13.5" thickBot="1" x14ac:dyDescent="0.25">
      <c r="B638" s="195" t="s">
        <v>366</v>
      </c>
      <c r="C638" s="196"/>
      <c r="D638" s="144">
        <v>1</v>
      </c>
      <c r="E638" s="145" t="s">
        <v>427</v>
      </c>
      <c r="G638" s="173"/>
      <c r="H638" s="170"/>
      <c r="I638" s="112"/>
    </row>
    <row r="639" spans="1:9" ht="38.25" customHeight="1" thickBot="1" x14ac:dyDescent="0.25">
      <c r="A639" s="105"/>
      <c r="B639" s="199" t="s">
        <v>478</v>
      </c>
      <c r="C639" s="200"/>
      <c r="D639" s="200"/>
      <c r="E639" s="201"/>
      <c r="I639" s="104"/>
    </row>
    <row r="640" spans="1:9" x14ac:dyDescent="0.2">
      <c r="A640" s="105"/>
      <c r="B640" s="135" t="s">
        <v>18</v>
      </c>
      <c r="C640" s="105"/>
      <c r="D640" s="140"/>
      <c r="E640" s="134"/>
      <c r="I640" s="104"/>
    </row>
    <row r="641" spans="1:9" x14ac:dyDescent="0.2">
      <c r="A641" s="105"/>
      <c r="B641" s="146"/>
      <c r="C641" s="193" t="s">
        <v>24</v>
      </c>
      <c r="D641" s="193"/>
      <c r="E641" s="193"/>
      <c r="I641" s="104"/>
    </row>
    <row r="642" spans="1:9" x14ac:dyDescent="0.2">
      <c r="A642" s="105"/>
      <c r="B642" s="135" t="s">
        <v>19</v>
      </c>
      <c r="C642" s="150"/>
      <c r="D642" s="150"/>
      <c r="E642" s="147"/>
      <c r="I642" s="104"/>
    </row>
    <row r="643" spans="1:9" x14ac:dyDescent="0.2">
      <c r="A643" s="105"/>
      <c r="B643" s="146"/>
      <c r="C643" s="193" t="s">
        <v>101</v>
      </c>
      <c r="D643" s="193"/>
      <c r="E643" s="193"/>
      <c r="I643" s="104"/>
    </row>
    <row r="644" spans="1:9" x14ac:dyDescent="0.2">
      <c r="A644" s="105"/>
      <c r="B644" s="135" t="s">
        <v>20</v>
      </c>
      <c r="C644" s="105"/>
      <c r="D644" s="140"/>
      <c r="E644" s="134"/>
      <c r="I644" s="104"/>
    </row>
    <row r="645" spans="1:9" x14ac:dyDescent="0.2">
      <c r="A645" s="105"/>
      <c r="B645" s="135"/>
      <c r="C645" s="194" t="s">
        <v>25</v>
      </c>
      <c r="D645" s="194"/>
      <c r="E645" s="194"/>
      <c r="I645" s="104"/>
    </row>
    <row r="646" spans="1:9" ht="13.5" thickBot="1" x14ac:dyDescent="0.25">
      <c r="A646" s="105"/>
      <c r="B646" s="136"/>
      <c r="C646" s="137"/>
      <c r="D646" s="138"/>
      <c r="E646" s="139"/>
      <c r="I646" s="104"/>
    </row>
    <row r="647" spans="1:9" ht="13.5" thickBot="1" x14ac:dyDescent="0.25">
      <c r="A647" s="105"/>
      <c r="B647" s="105"/>
      <c r="C647" s="105"/>
      <c r="D647" s="140"/>
      <c r="E647" s="105"/>
      <c r="I647" s="104"/>
    </row>
    <row r="648" spans="1:9" x14ac:dyDescent="0.2">
      <c r="A648" s="105"/>
      <c r="B648" s="130" t="s">
        <v>123</v>
      </c>
      <c r="C648" s="131"/>
      <c r="D648" s="132"/>
      <c r="E648" s="133"/>
      <c r="I648" s="104"/>
    </row>
    <row r="649" spans="1:9" x14ac:dyDescent="0.2">
      <c r="A649" s="105"/>
      <c r="B649" s="141"/>
      <c r="C649" s="212" t="s">
        <v>466</v>
      </c>
      <c r="D649" s="212"/>
      <c r="E649" s="213"/>
      <c r="I649" s="104"/>
    </row>
    <row r="650" spans="1:9" x14ac:dyDescent="0.2">
      <c r="A650" s="105"/>
      <c r="B650" s="135" t="s">
        <v>16</v>
      </c>
      <c r="C650" s="105"/>
      <c r="D650" s="140"/>
      <c r="E650" s="134"/>
      <c r="I650" s="104"/>
    </row>
    <row r="651" spans="1:9" x14ac:dyDescent="0.2">
      <c r="A651" s="105"/>
      <c r="B651" s="135"/>
      <c r="C651" s="193"/>
      <c r="D651" s="193"/>
      <c r="E651" s="193"/>
      <c r="I651" s="104"/>
    </row>
    <row r="652" spans="1:9" ht="13.5" thickBot="1" x14ac:dyDescent="0.25">
      <c r="A652" s="105"/>
      <c r="B652" s="135" t="s">
        <v>17</v>
      </c>
      <c r="C652" s="105"/>
      <c r="D652" s="140"/>
      <c r="E652" s="134"/>
      <c r="I652" s="104"/>
    </row>
    <row r="653" spans="1:9" ht="13.5" thickBot="1" x14ac:dyDescent="0.25">
      <c r="A653" s="105"/>
      <c r="B653" s="202" t="s">
        <v>98</v>
      </c>
      <c r="C653" s="203"/>
      <c r="D653" s="203"/>
      <c r="E653" s="204"/>
      <c r="I653" s="104"/>
    </row>
    <row r="654" spans="1:9" ht="13.5" thickBot="1" x14ac:dyDescent="0.25">
      <c r="A654" s="105"/>
      <c r="B654" s="202" t="s">
        <v>264</v>
      </c>
      <c r="C654" s="204"/>
      <c r="D654" s="142" t="s">
        <v>11</v>
      </c>
      <c r="E654" s="142" t="s">
        <v>100</v>
      </c>
      <c r="I654" s="104"/>
    </row>
    <row r="655" spans="1:9" x14ac:dyDescent="0.2">
      <c r="A655" s="105"/>
      <c r="B655" s="205" t="s">
        <v>265</v>
      </c>
      <c r="C655" s="205"/>
      <c r="D655" s="143">
        <v>1</v>
      </c>
      <c r="E655" s="148" t="s">
        <v>293</v>
      </c>
      <c r="I655" s="104"/>
    </row>
    <row r="656" spans="1:9" x14ac:dyDescent="0.2">
      <c r="A656" s="105"/>
      <c r="B656" s="206" t="s">
        <v>266</v>
      </c>
      <c r="C656" s="206"/>
      <c r="D656" s="144">
        <v>1</v>
      </c>
      <c r="E656" s="149" t="s">
        <v>295</v>
      </c>
      <c r="I656" s="104"/>
    </row>
    <row r="657" spans="1:9" x14ac:dyDescent="0.2">
      <c r="A657" s="105"/>
      <c r="B657" s="206" t="s">
        <v>267</v>
      </c>
      <c r="C657" s="206"/>
      <c r="D657" s="144">
        <v>1</v>
      </c>
      <c r="E657" s="149" t="s">
        <v>296</v>
      </c>
      <c r="I657" s="104"/>
    </row>
    <row r="658" spans="1:9" x14ac:dyDescent="0.2">
      <c r="A658" s="105"/>
      <c r="B658" s="206" t="s">
        <v>269</v>
      </c>
      <c r="C658" s="206"/>
      <c r="D658" s="144">
        <v>1</v>
      </c>
      <c r="E658" s="149" t="s">
        <v>294</v>
      </c>
      <c r="I658" s="104"/>
    </row>
    <row r="659" spans="1:9" x14ac:dyDescent="0.2">
      <c r="A659" s="105"/>
      <c r="B659" s="206" t="s">
        <v>270</v>
      </c>
      <c r="C659" s="206"/>
      <c r="D659" s="144">
        <v>0</v>
      </c>
      <c r="E659" s="145" t="s">
        <v>360</v>
      </c>
      <c r="I659" s="104"/>
    </row>
    <row r="660" spans="1:9" x14ac:dyDescent="0.2">
      <c r="A660" s="105"/>
      <c r="B660" s="195" t="s">
        <v>268</v>
      </c>
      <c r="C660" s="196"/>
      <c r="D660" s="144">
        <v>1</v>
      </c>
      <c r="E660" s="149" t="s">
        <v>297</v>
      </c>
      <c r="I660" s="104"/>
    </row>
    <row r="661" spans="1:9" s="105" customFormat="1" x14ac:dyDescent="0.2">
      <c r="B661" s="197" t="s">
        <v>365</v>
      </c>
      <c r="C661" s="198"/>
      <c r="D661" s="144">
        <v>1</v>
      </c>
      <c r="E661" s="145" t="s">
        <v>426</v>
      </c>
      <c r="G661" s="173"/>
      <c r="H661" s="170"/>
      <c r="I661" s="112"/>
    </row>
    <row r="662" spans="1:9" s="105" customFormat="1" ht="13.5" thickBot="1" x14ac:dyDescent="0.25">
      <c r="B662" s="195" t="s">
        <v>366</v>
      </c>
      <c r="C662" s="196"/>
      <c r="D662" s="144">
        <v>1</v>
      </c>
      <c r="E662" s="145" t="s">
        <v>427</v>
      </c>
      <c r="G662" s="173"/>
      <c r="H662" s="170"/>
      <c r="I662" s="112"/>
    </row>
    <row r="663" spans="1:9" ht="25.5" customHeight="1" thickBot="1" x14ac:dyDescent="0.25">
      <c r="A663" s="105"/>
      <c r="B663" s="199" t="s">
        <v>468</v>
      </c>
      <c r="C663" s="200"/>
      <c r="D663" s="200"/>
      <c r="E663" s="201"/>
      <c r="I663" s="104"/>
    </row>
    <row r="664" spans="1:9" x14ac:dyDescent="0.2">
      <c r="A664" s="105"/>
      <c r="B664" s="135" t="s">
        <v>18</v>
      </c>
      <c r="C664" s="105"/>
      <c r="D664" s="140"/>
      <c r="E664" s="134"/>
      <c r="I664" s="104"/>
    </row>
    <row r="665" spans="1:9" x14ac:dyDescent="0.2">
      <c r="A665" s="105"/>
      <c r="B665" s="146"/>
      <c r="C665" s="193" t="s">
        <v>24</v>
      </c>
      <c r="D665" s="193"/>
      <c r="E665" s="193"/>
      <c r="I665" s="104"/>
    </row>
    <row r="666" spans="1:9" x14ac:dyDescent="0.2">
      <c r="A666" s="105"/>
      <c r="B666" s="135" t="s">
        <v>19</v>
      </c>
      <c r="C666" s="150"/>
      <c r="D666" s="150"/>
      <c r="E666" s="147"/>
      <c r="I666" s="104"/>
    </row>
    <row r="667" spans="1:9" x14ac:dyDescent="0.2">
      <c r="A667" s="105"/>
      <c r="B667" s="146"/>
      <c r="C667" s="193" t="s">
        <v>101</v>
      </c>
      <c r="D667" s="193"/>
      <c r="E667" s="193"/>
      <c r="I667" s="104"/>
    </row>
    <row r="668" spans="1:9" x14ac:dyDescent="0.2">
      <c r="A668" s="105"/>
      <c r="B668" s="135" t="s">
        <v>20</v>
      </c>
      <c r="C668" s="105"/>
      <c r="D668" s="140"/>
      <c r="E668" s="134"/>
      <c r="I668" s="104"/>
    </row>
    <row r="669" spans="1:9" x14ac:dyDescent="0.2">
      <c r="A669" s="105"/>
      <c r="B669" s="135"/>
      <c r="C669" s="194" t="s">
        <v>25</v>
      </c>
      <c r="D669" s="194"/>
      <c r="E669" s="194"/>
      <c r="I669" s="104"/>
    </row>
    <row r="670" spans="1:9" ht="13.5" thickBot="1" x14ac:dyDescent="0.25">
      <c r="A670" s="105"/>
      <c r="B670" s="136"/>
      <c r="C670" s="137"/>
      <c r="D670" s="138"/>
      <c r="E670" s="139"/>
      <c r="I670" s="104"/>
    </row>
    <row r="671" spans="1:9" ht="13.5" thickBot="1" x14ac:dyDescent="0.25">
      <c r="A671" s="105"/>
      <c r="B671" s="105"/>
      <c r="C671" s="105"/>
      <c r="D671" s="140"/>
      <c r="E671" s="105"/>
      <c r="I671" s="104"/>
    </row>
    <row r="672" spans="1:9" x14ac:dyDescent="0.2">
      <c r="A672" s="105"/>
      <c r="B672" s="130" t="s">
        <v>124</v>
      </c>
      <c r="C672" s="131"/>
      <c r="D672" s="132"/>
      <c r="E672" s="133"/>
      <c r="I672" s="104"/>
    </row>
    <row r="673" spans="1:9" x14ac:dyDescent="0.2">
      <c r="A673" s="105"/>
      <c r="B673" s="141"/>
      <c r="C673" s="212" t="s">
        <v>467</v>
      </c>
      <c r="D673" s="212"/>
      <c r="E673" s="213"/>
      <c r="I673" s="104"/>
    </row>
    <row r="674" spans="1:9" x14ac:dyDescent="0.2">
      <c r="A674" s="105"/>
      <c r="B674" s="135" t="s">
        <v>16</v>
      </c>
      <c r="C674" s="105"/>
      <c r="D674" s="140"/>
      <c r="E674" s="134"/>
      <c r="I674" s="104"/>
    </row>
    <row r="675" spans="1:9" x14ac:dyDescent="0.2">
      <c r="A675" s="105"/>
      <c r="B675" s="135"/>
      <c r="C675" s="193"/>
      <c r="D675" s="193"/>
      <c r="E675" s="193"/>
      <c r="I675" s="104"/>
    </row>
    <row r="676" spans="1:9" ht="13.5" thickBot="1" x14ac:dyDescent="0.25">
      <c r="A676" s="105"/>
      <c r="B676" s="135" t="s">
        <v>17</v>
      </c>
      <c r="C676" s="105"/>
      <c r="D676" s="140"/>
      <c r="E676" s="134"/>
      <c r="I676" s="104"/>
    </row>
    <row r="677" spans="1:9" ht="13.5" thickBot="1" x14ac:dyDescent="0.25">
      <c r="A677" s="105"/>
      <c r="B677" s="202" t="s">
        <v>98</v>
      </c>
      <c r="C677" s="203"/>
      <c r="D677" s="203"/>
      <c r="E677" s="204"/>
      <c r="I677" s="104"/>
    </row>
    <row r="678" spans="1:9" ht="13.5" thickBot="1" x14ac:dyDescent="0.25">
      <c r="A678" s="105"/>
      <c r="B678" s="202" t="s">
        <v>264</v>
      </c>
      <c r="C678" s="204"/>
      <c r="D678" s="142" t="s">
        <v>11</v>
      </c>
      <c r="E678" s="142" t="s">
        <v>100</v>
      </c>
      <c r="I678" s="104"/>
    </row>
    <row r="679" spans="1:9" x14ac:dyDescent="0.2">
      <c r="A679" s="105"/>
      <c r="B679" s="205" t="s">
        <v>265</v>
      </c>
      <c r="C679" s="205"/>
      <c r="D679" s="143">
        <v>1</v>
      </c>
      <c r="E679" s="148" t="s">
        <v>293</v>
      </c>
      <c r="I679" s="104"/>
    </row>
    <row r="680" spans="1:9" x14ac:dyDescent="0.2">
      <c r="A680" s="105"/>
      <c r="B680" s="206" t="s">
        <v>266</v>
      </c>
      <c r="C680" s="206"/>
      <c r="D680" s="144">
        <v>1</v>
      </c>
      <c r="E680" s="149" t="s">
        <v>295</v>
      </c>
      <c r="I680" s="104"/>
    </row>
    <row r="681" spans="1:9" x14ac:dyDescent="0.2">
      <c r="A681" s="105"/>
      <c r="B681" s="206" t="s">
        <v>267</v>
      </c>
      <c r="C681" s="206"/>
      <c r="D681" s="144">
        <v>1</v>
      </c>
      <c r="E681" s="149" t="s">
        <v>296</v>
      </c>
      <c r="I681" s="104"/>
    </row>
    <row r="682" spans="1:9" x14ac:dyDescent="0.2">
      <c r="A682" s="105"/>
      <c r="B682" s="206" t="s">
        <v>269</v>
      </c>
      <c r="C682" s="206"/>
      <c r="D682" s="144">
        <v>1</v>
      </c>
      <c r="E682" s="149" t="s">
        <v>294</v>
      </c>
      <c r="I682" s="104"/>
    </row>
    <row r="683" spans="1:9" x14ac:dyDescent="0.2">
      <c r="A683" s="105"/>
      <c r="B683" s="206" t="s">
        <v>270</v>
      </c>
      <c r="C683" s="206"/>
      <c r="D683" s="144">
        <v>0</v>
      </c>
      <c r="E683" s="145" t="s">
        <v>360</v>
      </c>
      <c r="I683" s="104"/>
    </row>
    <row r="684" spans="1:9" x14ac:dyDescent="0.2">
      <c r="A684" s="105"/>
      <c r="B684" s="195" t="s">
        <v>268</v>
      </c>
      <c r="C684" s="196"/>
      <c r="D684" s="144">
        <v>0</v>
      </c>
      <c r="E684" s="149" t="s">
        <v>297</v>
      </c>
      <c r="I684" s="104"/>
    </row>
    <row r="685" spans="1:9" s="105" customFormat="1" x14ac:dyDescent="0.2">
      <c r="B685" s="197" t="s">
        <v>365</v>
      </c>
      <c r="C685" s="198"/>
      <c r="D685" s="144">
        <v>1</v>
      </c>
      <c r="E685" s="145" t="s">
        <v>426</v>
      </c>
      <c r="G685" s="173"/>
      <c r="H685" s="170"/>
      <c r="I685" s="112"/>
    </row>
    <row r="686" spans="1:9" s="105" customFormat="1" ht="13.5" thickBot="1" x14ac:dyDescent="0.25">
      <c r="B686" s="195" t="s">
        <v>366</v>
      </c>
      <c r="C686" s="196"/>
      <c r="D686" s="144">
        <v>0</v>
      </c>
      <c r="E686" s="145" t="s">
        <v>427</v>
      </c>
      <c r="G686" s="173"/>
      <c r="H686" s="170"/>
      <c r="I686" s="112"/>
    </row>
    <row r="687" spans="1:9" ht="24.75" customHeight="1" thickBot="1" x14ac:dyDescent="0.25">
      <c r="A687" s="105"/>
      <c r="B687" s="199" t="s">
        <v>469</v>
      </c>
      <c r="C687" s="200"/>
      <c r="D687" s="200"/>
      <c r="E687" s="201"/>
      <c r="I687" s="104"/>
    </row>
    <row r="688" spans="1:9" x14ac:dyDescent="0.2">
      <c r="A688" s="105"/>
      <c r="B688" s="135" t="s">
        <v>18</v>
      </c>
      <c r="C688" s="105"/>
      <c r="D688" s="140"/>
      <c r="E688" s="134"/>
      <c r="I688" s="104"/>
    </row>
    <row r="689" spans="1:9" x14ac:dyDescent="0.2">
      <c r="A689" s="105"/>
      <c r="B689" s="146"/>
      <c r="C689" s="193" t="s">
        <v>24</v>
      </c>
      <c r="D689" s="193"/>
      <c r="E689" s="193"/>
      <c r="I689" s="104"/>
    </row>
    <row r="690" spans="1:9" x14ac:dyDescent="0.2">
      <c r="A690" s="105"/>
      <c r="B690" s="135" t="s">
        <v>19</v>
      </c>
      <c r="C690" s="150"/>
      <c r="D690" s="150"/>
      <c r="E690" s="147"/>
      <c r="I690" s="104"/>
    </row>
    <row r="691" spans="1:9" x14ac:dyDescent="0.2">
      <c r="A691" s="105"/>
      <c r="B691" s="146"/>
      <c r="C691" s="193" t="e">
        <f>SUM(#REF!)</f>
        <v>#REF!</v>
      </c>
      <c r="D691" s="193"/>
      <c r="E691" s="193"/>
      <c r="I691" s="104"/>
    </row>
    <row r="692" spans="1:9" x14ac:dyDescent="0.2">
      <c r="A692" s="105"/>
      <c r="B692" s="135" t="s">
        <v>20</v>
      </c>
      <c r="C692" s="105"/>
      <c r="D692" s="140"/>
      <c r="E692" s="134"/>
      <c r="I692" s="104"/>
    </row>
    <row r="693" spans="1:9" x14ac:dyDescent="0.2">
      <c r="A693" s="105"/>
      <c r="B693" s="135"/>
      <c r="C693" s="194" t="s">
        <v>25</v>
      </c>
      <c r="D693" s="194"/>
      <c r="E693" s="194"/>
      <c r="I693" s="104"/>
    </row>
    <row r="694" spans="1:9" ht="13.5" thickBot="1" x14ac:dyDescent="0.25">
      <c r="A694" s="105"/>
      <c r="B694" s="136"/>
      <c r="C694" s="137"/>
      <c r="D694" s="138"/>
      <c r="E694" s="139"/>
      <c r="I694" s="104"/>
    </row>
    <row r="695" spans="1:9" ht="13.5" thickBot="1" x14ac:dyDescent="0.25">
      <c r="A695" s="105"/>
      <c r="B695" s="105"/>
      <c r="C695" s="105"/>
      <c r="D695" s="140"/>
      <c r="E695" s="105"/>
    </row>
    <row r="696" spans="1:9" x14ac:dyDescent="0.2">
      <c r="A696" s="105"/>
      <c r="B696" s="130" t="s">
        <v>125</v>
      </c>
      <c r="C696" s="131"/>
      <c r="D696" s="132"/>
      <c r="E696" s="133"/>
    </row>
    <row r="697" spans="1:9" ht="5.25" customHeight="1" x14ac:dyDescent="0.2">
      <c r="A697" s="105"/>
      <c r="B697" s="141"/>
      <c r="C697" s="105"/>
      <c r="D697" s="140"/>
      <c r="E697" s="134"/>
    </row>
    <row r="698" spans="1:9" x14ac:dyDescent="0.2">
      <c r="A698" s="105"/>
      <c r="B698" s="135" t="s">
        <v>16</v>
      </c>
      <c r="C698" s="105"/>
      <c r="D698" s="140"/>
      <c r="E698" s="134"/>
    </row>
    <row r="699" spans="1:9" ht="25.5" customHeight="1" x14ac:dyDescent="0.2">
      <c r="A699" s="105"/>
      <c r="B699" s="135"/>
      <c r="C699" s="210"/>
      <c r="D699" s="210"/>
      <c r="E699" s="211"/>
    </row>
    <row r="700" spans="1:9" ht="13.5" thickBot="1" x14ac:dyDescent="0.25">
      <c r="A700" s="105"/>
      <c r="B700" s="135" t="s">
        <v>17</v>
      </c>
      <c r="C700" s="105"/>
      <c r="D700" s="140"/>
      <c r="E700" s="134"/>
    </row>
    <row r="701" spans="1:9" ht="13.5" thickBot="1" x14ac:dyDescent="0.25">
      <c r="A701" s="105"/>
      <c r="B701" s="202" t="s">
        <v>98</v>
      </c>
      <c r="C701" s="203"/>
      <c r="D701" s="203"/>
      <c r="E701" s="204"/>
    </row>
    <row r="702" spans="1:9" ht="13.5" thickBot="1" x14ac:dyDescent="0.25">
      <c r="A702" s="105"/>
      <c r="B702" s="202" t="s">
        <v>264</v>
      </c>
      <c r="C702" s="204"/>
      <c r="D702" s="142" t="s">
        <v>11</v>
      </c>
      <c r="E702" s="142" t="s">
        <v>100</v>
      </c>
      <c r="I702" s="104"/>
    </row>
    <row r="703" spans="1:9" x14ac:dyDescent="0.2">
      <c r="A703" s="105"/>
      <c r="B703" s="205" t="s">
        <v>265</v>
      </c>
      <c r="C703" s="205"/>
      <c r="D703" s="143">
        <v>2</v>
      </c>
      <c r="E703" s="148" t="s">
        <v>293</v>
      </c>
      <c r="I703" s="104"/>
    </row>
    <row r="704" spans="1:9" x14ac:dyDescent="0.2">
      <c r="A704" s="105"/>
      <c r="B704" s="206" t="s">
        <v>266</v>
      </c>
      <c r="C704" s="206"/>
      <c r="D704" s="144">
        <v>5</v>
      </c>
      <c r="E704" s="149" t="s">
        <v>295</v>
      </c>
      <c r="I704" s="104"/>
    </row>
    <row r="705" spans="1:9" x14ac:dyDescent="0.2">
      <c r="A705" s="105"/>
      <c r="B705" s="206" t="s">
        <v>267</v>
      </c>
      <c r="C705" s="206"/>
      <c r="D705" s="144">
        <v>5</v>
      </c>
      <c r="E705" s="149" t="s">
        <v>296</v>
      </c>
      <c r="I705" s="104"/>
    </row>
    <row r="706" spans="1:9" x14ac:dyDescent="0.2">
      <c r="A706" s="105"/>
      <c r="B706" s="206" t="s">
        <v>269</v>
      </c>
      <c r="C706" s="206"/>
      <c r="D706" s="144">
        <v>12</v>
      </c>
      <c r="E706" s="149" t="s">
        <v>294</v>
      </c>
      <c r="I706" s="104"/>
    </row>
    <row r="707" spans="1:9" x14ac:dyDescent="0.2">
      <c r="A707" s="105"/>
      <c r="B707" s="206" t="s">
        <v>270</v>
      </c>
      <c r="C707" s="206"/>
      <c r="D707" s="144">
        <v>0</v>
      </c>
      <c r="E707" s="145" t="s">
        <v>360</v>
      </c>
      <c r="I707" s="104"/>
    </row>
    <row r="708" spans="1:9" x14ac:dyDescent="0.2">
      <c r="A708" s="105"/>
      <c r="B708" s="195" t="s">
        <v>268</v>
      </c>
      <c r="C708" s="196"/>
      <c r="D708" s="144">
        <v>0</v>
      </c>
      <c r="E708" s="149" t="s">
        <v>297</v>
      </c>
      <c r="I708" s="104"/>
    </row>
    <row r="709" spans="1:9" s="105" customFormat="1" x14ac:dyDescent="0.2">
      <c r="B709" s="197" t="s">
        <v>365</v>
      </c>
      <c r="C709" s="198"/>
      <c r="D709" s="144">
        <v>4</v>
      </c>
      <c r="E709" s="145" t="s">
        <v>426</v>
      </c>
      <c r="G709" s="173"/>
      <c r="H709" s="170"/>
      <c r="I709" s="112"/>
    </row>
    <row r="710" spans="1:9" s="105" customFormat="1" ht="13.5" thickBot="1" x14ac:dyDescent="0.25">
      <c r="B710" s="195" t="s">
        <v>366</v>
      </c>
      <c r="C710" s="196"/>
      <c r="D710" s="144">
        <v>0</v>
      </c>
      <c r="E710" s="145" t="s">
        <v>427</v>
      </c>
      <c r="G710" s="173"/>
      <c r="H710" s="170"/>
      <c r="I710" s="112"/>
    </row>
    <row r="711" spans="1:9" ht="25.5" customHeight="1" thickBot="1" x14ac:dyDescent="0.25">
      <c r="A711" s="105"/>
      <c r="B711" s="199" t="s">
        <v>408</v>
      </c>
      <c r="C711" s="200"/>
      <c r="D711" s="200"/>
      <c r="E711" s="201"/>
      <c r="I711" s="104"/>
    </row>
    <row r="712" spans="1:9" x14ac:dyDescent="0.2">
      <c r="A712" s="105"/>
      <c r="B712" s="135" t="s">
        <v>18</v>
      </c>
      <c r="C712" s="105"/>
      <c r="D712" s="140"/>
      <c r="E712" s="134"/>
      <c r="I712" s="104"/>
    </row>
    <row r="713" spans="1:9" x14ac:dyDescent="0.2">
      <c r="A713" s="105"/>
      <c r="B713" s="146"/>
      <c r="C713" s="193" t="s">
        <v>24</v>
      </c>
      <c r="D713" s="193"/>
      <c r="E713" s="193"/>
      <c r="I713" s="104"/>
    </row>
    <row r="714" spans="1:9" x14ac:dyDescent="0.2">
      <c r="A714" s="105"/>
      <c r="B714" s="135" t="s">
        <v>19</v>
      </c>
      <c r="C714" s="150"/>
      <c r="D714" s="150"/>
      <c r="E714" s="147"/>
      <c r="I714" s="104"/>
    </row>
    <row r="715" spans="1:9" x14ac:dyDescent="0.2">
      <c r="A715" s="105"/>
      <c r="B715" s="146"/>
      <c r="C715" s="193" t="s">
        <v>101</v>
      </c>
      <c r="D715" s="193"/>
      <c r="E715" s="193"/>
      <c r="I715" s="104"/>
    </row>
    <row r="716" spans="1:9" x14ac:dyDescent="0.2">
      <c r="A716" s="105"/>
      <c r="B716" s="135" t="s">
        <v>20</v>
      </c>
      <c r="C716" s="105"/>
      <c r="D716" s="140"/>
      <c r="E716" s="134"/>
      <c r="I716" s="104"/>
    </row>
    <row r="717" spans="1:9" x14ac:dyDescent="0.2">
      <c r="A717" s="105"/>
      <c r="B717" s="135"/>
      <c r="C717" s="194" t="s">
        <v>25</v>
      </c>
      <c r="D717" s="194"/>
      <c r="E717" s="194"/>
      <c r="I717" s="104"/>
    </row>
    <row r="718" spans="1:9" ht="13.5" thickBot="1" x14ac:dyDescent="0.25">
      <c r="A718" s="105"/>
      <c r="B718" s="136"/>
      <c r="C718" s="137"/>
      <c r="D718" s="138"/>
      <c r="E718" s="139"/>
      <c r="I718" s="104"/>
    </row>
    <row r="719" spans="1:9" ht="13.5" thickBot="1" x14ac:dyDescent="0.25">
      <c r="A719" s="105"/>
      <c r="B719" s="105"/>
      <c r="C719" s="105"/>
      <c r="D719" s="140"/>
      <c r="E719" s="105"/>
    </row>
    <row r="720" spans="1:9" x14ac:dyDescent="0.2">
      <c r="A720" s="105"/>
      <c r="B720" s="130" t="s">
        <v>126</v>
      </c>
      <c r="C720" s="131"/>
      <c r="D720" s="132"/>
      <c r="E720" s="133"/>
    </row>
    <row r="721" spans="1:9" x14ac:dyDescent="0.2">
      <c r="A721" s="105"/>
      <c r="B721" s="141"/>
      <c r="C721" s="105"/>
      <c r="D721" s="140"/>
      <c r="E721" s="134"/>
    </row>
    <row r="722" spans="1:9" x14ac:dyDescent="0.2">
      <c r="A722" s="105"/>
      <c r="B722" s="135" t="s">
        <v>16</v>
      </c>
      <c r="C722" s="210"/>
      <c r="D722" s="210"/>
      <c r="E722" s="211"/>
    </row>
    <row r="723" spans="1:9" x14ac:dyDescent="0.2">
      <c r="A723" s="105"/>
      <c r="B723" s="135"/>
      <c r="C723" s="193"/>
      <c r="D723" s="193"/>
      <c r="E723" s="193"/>
    </row>
    <row r="724" spans="1:9" ht="13.5" thickBot="1" x14ac:dyDescent="0.25">
      <c r="A724" s="105"/>
      <c r="B724" s="135" t="s">
        <v>17</v>
      </c>
      <c r="C724" s="105"/>
      <c r="D724" s="140"/>
      <c r="E724" s="134"/>
    </row>
    <row r="725" spans="1:9" ht="13.5" thickBot="1" x14ac:dyDescent="0.25">
      <c r="A725" s="105"/>
      <c r="B725" s="202" t="s">
        <v>98</v>
      </c>
      <c r="C725" s="203"/>
      <c r="D725" s="203"/>
      <c r="E725" s="204"/>
    </row>
    <row r="726" spans="1:9" ht="13.5" thickBot="1" x14ac:dyDescent="0.25">
      <c r="A726" s="105"/>
      <c r="B726" s="202" t="s">
        <v>264</v>
      </c>
      <c r="C726" s="204"/>
      <c r="D726" s="142" t="s">
        <v>11</v>
      </c>
      <c r="E726" s="142" t="s">
        <v>100</v>
      </c>
    </row>
    <row r="727" spans="1:9" x14ac:dyDescent="0.2">
      <c r="A727" s="105"/>
      <c r="B727" s="205" t="s">
        <v>265</v>
      </c>
      <c r="C727" s="205"/>
      <c r="D727" s="143">
        <v>2</v>
      </c>
      <c r="E727" s="148" t="s">
        <v>293</v>
      </c>
    </row>
    <row r="728" spans="1:9" x14ac:dyDescent="0.2">
      <c r="A728" s="105"/>
      <c r="B728" s="206" t="s">
        <v>266</v>
      </c>
      <c r="C728" s="206"/>
      <c r="D728" s="144">
        <v>2</v>
      </c>
      <c r="E728" s="149" t="s">
        <v>295</v>
      </c>
    </row>
    <row r="729" spans="1:9" x14ac:dyDescent="0.2">
      <c r="A729" s="105"/>
      <c r="B729" s="206" t="s">
        <v>267</v>
      </c>
      <c r="C729" s="206"/>
      <c r="D729" s="144">
        <v>0</v>
      </c>
      <c r="E729" s="149" t="s">
        <v>296</v>
      </c>
    </row>
    <row r="730" spans="1:9" x14ac:dyDescent="0.2">
      <c r="A730" s="105"/>
      <c r="B730" s="206" t="s">
        <v>269</v>
      </c>
      <c r="C730" s="206"/>
      <c r="D730" s="144">
        <v>2</v>
      </c>
      <c r="E730" s="149" t="s">
        <v>294</v>
      </c>
    </row>
    <row r="731" spans="1:9" x14ac:dyDescent="0.2">
      <c r="A731" s="105"/>
      <c r="B731" s="206" t="s">
        <v>270</v>
      </c>
      <c r="C731" s="206"/>
      <c r="D731" s="144">
        <v>0</v>
      </c>
      <c r="E731" s="145" t="s">
        <v>360</v>
      </c>
    </row>
    <row r="732" spans="1:9" x14ac:dyDescent="0.2">
      <c r="A732" s="105"/>
      <c r="B732" s="195" t="s">
        <v>268</v>
      </c>
      <c r="C732" s="196"/>
      <c r="D732" s="144">
        <v>0</v>
      </c>
      <c r="E732" s="149" t="s">
        <v>297</v>
      </c>
    </row>
    <row r="733" spans="1:9" s="105" customFormat="1" x14ac:dyDescent="0.2">
      <c r="B733" s="197" t="s">
        <v>365</v>
      </c>
      <c r="C733" s="198"/>
      <c r="D733" s="144">
        <v>3</v>
      </c>
      <c r="E733" s="145" t="s">
        <v>426</v>
      </c>
      <c r="G733" s="173"/>
      <c r="H733" s="170"/>
      <c r="I733" s="112"/>
    </row>
    <row r="734" spans="1:9" s="105" customFormat="1" ht="13.5" thickBot="1" x14ac:dyDescent="0.25">
      <c r="B734" s="195" t="s">
        <v>366</v>
      </c>
      <c r="C734" s="196"/>
      <c r="D734" s="144">
        <v>3</v>
      </c>
      <c r="E734" s="145" t="s">
        <v>427</v>
      </c>
      <c r="G734" s="173"/>
      <c r="H734" s="170"/>
      <c r="I734" s="112"/>
    </row>
    <row r="735" spans="1:9" ht="27" customHeight="1" thickBot="1" x14ac:dyDescent="0.25">
      <c r="A735" s="105"/>
      <c r="B735" s="199" t="s">
        <v>372</v>
      </c>
      <c r="C735" s="200"/>
      <c r="D735" s="200"/>
      <c r="E735" s="201"/>
    </row>
    <row r="736" spans="1:9" x14ac:dyDescent="0.2">
      <c r="A736" s="105"/>
      <c r="B736" s="135" t="s">
        <v>18</v>
      </c>
      <c r="C736" s="105"/>
      <c r="D736" s="140"/>
      <c r="E736" s="134"/>
    </row>
    <row r="737" spans="1:5" x14ac:dyDescent="0.2">
      <c r="A737" s="105"/>
      <c r="B737" s="146"/>
      <c r="C737" s="193" t="s">
        <v>24</v>
      </c>
      <c r="D737" s="193"/>
      <c r="E737" s="193"/>
    </row>
    <row r="738" spans="1:5" x14ac:dyDescent="0.2">
      <c r="A738" s="105"/>
      <c r="B738" s="135" t="s">
        <v>19</v>
      </c>
      <c r="C738" s="150"/>
      <c r="D738" s="150"/>
      <c r="E738" s="147"/>
    </row>
    <row r="739" spans="1:5" x14ac:dyDescent="0.2">
      <c r="A739" s="105"/>
      <c r="B739" s="146"/>
      <c r="C739" s="193" t="s">
        <v>101</v>
      </c>
      <c r="D739" s="193"/>
      <c r="E739" s="193"/>
    </row>
    <row r="740" spans="1:5" x14ac:dyDescent="0.2">
      <c r="A740" s="105"/>
      <c r="B740" s="135" t="s">
        <v>20</v>
      </c>
      <c r="C740" s="105"/>
      <c r="D740" s="140"/>
      <c r="E740" s="134"/>
    </row>
    <row r="741" spans="1:5" x14ac:dyDescent="0.2">
      <c r="A741" s="105"/>
      <c r="B741" s="135"/>
      <c r="C741" s="194" t="s">
        <v>25</v>
      </c>
      <c r="D741" s="194"/>
      <c r="E741" s="194"/>
    </row>
    <row r="742" spans="1:5" ht="13.5" thickBot="1" x14ac:dyDescent="0.25">
      <c r="A742" s="105"/>
      <c r="B742" s="136"/>
      <c r="C742" s="137"/>
      <c r="D742" s="138"/>
      <c r="E742" s="139"/>
    </row>
    <row r="743" spans="1:5" ht="13.5" thickBot="1" x14ac:dyDescent="0.25">
      <c r="A743" s="105"/>
      <c r="B743" s="105"/>
      <c r="C743" s="105"/>
      <c r="D743" s="140"/>
      <c r="E743" s="105"/>
    </row>
    <row r="744" spans="1:5" x14ac:dyDescent="0.2">
      <c r="A744" s="105"/>
      <c r="B744" s="130" t="s">
        <v>127</v>
      </c>
      <c r="C744" s="131"/>
      <c r="D744" s="132"/>
      <c r="E744" s="133"/>
    </row>
    <row r="745" spans="1:5" x14ac:dyDescent="0.2">
      <c r="A745" s="105"/>
      <c r="B745" s="141"/>
      <c r="C745" s="105"/>
      <c r="D745" s="140"/>
      <c r="E745" s="134"/>
    </row>
    <row r="746" spans="1:5" x14ac:dyDescent="0.2">
      <c r="A746" s="105"/>
      <c r="B746" s="135" t="s">
        <v>16</v>
      </c>
      <c r="C746" s="105"/>
      <c r="D746" s="140"/>
      <c r="E746" s="134"/>
    </row>
    <row r="747" spans="1:5" x14ac:dyDescent="0.2">
      <c r="A747" s="105"/>
      <c r="B747" s="135"/>
      <c r="C747" s="207" t="s">
        <v>449</v>
      </c>
      <c r="D747" s="207"/>
      <c r="E747" s="207"/>
    </row>
    <row r="748" spans="1:5" ht="13.5" thickBot="1" x14ac:dyDescent="0.25">
      <c r="A748" s="105"/>
      <c r="B748" s="135" t="s">
        <v>17</v>
      </c>
      <c r="C748" s="105"/>
      <c r="D748" s="140"/>
      <c r="E748" s="134"/>
    </row>
    <row r="749" spans="1:5" ht="13.5" thickBot="1" x14ac:dyDescent="0.25">
      <c r="A749" s="105"/>
      <c r="B749" s="202" t="s">
        <v>98</v>
      </c>
      <c r="C749" s="203"/>
      <c r="D749" s="203"/>
      <c r="E749" s="204"/>
    </row>
    <row r="750" spans="1:5" ht="13.5" thickBot="1" x14ac:dyDescent="0.25">
      <c r="A750" s="105"/>
      <c r="B750" s="202" t="s">
        <v>264</v>
      </c>
      <c r="C750" s="204"/>
      <c r="D750" s="142" t="s">
        <v>11</v>
      </c>
      <c r="E750" s="142" t="s">
        <v>100</v>
      </c>
    </row>
    <row r="751" spans="1:5" x14ac:dyDescent="0.2">
      <c r="A751" s="105"/>
      <c r="B751" s="205" t="s">
        <v>265</v>
      </c>
      <c r="C751" s="205"/>
      <c r="D751" s="143">
        <v>3</v>
      </c>
      <c r="E751" s="148" t="s">
        <v>293</v>
      </c>
    </row>
    <row r="752" spans="1:5" x14ac:dyDescent="0.2">
      <c r="A752" s="105"/>
      <c r="B752" s="206" t="s">
        <v>266</v>
      </c>
      <c r="C752" s="206"/>
      <c r="D752" s="144">
        <v>6</v>
      </c>
      <c r="E752" s="149" t="s">
        <v>295</v>
      </c>
    </row>
    <row r="753" spans="1:9" x14ac:dyDescent="0.2">
      <c r="A753" s="105"/>
      <c r="B753" s="206" t="s">
        <v>267</v>
      </c>
      <c r="C753" s="206"/>
      <c r="D753" s="144">
        <v>6</v>
      </c>
      <c r="E753" s="149" t="s">
        <v>296</v>
      </c>
    </row>
    <row r="754" spans="1:9" x14ac:dyDescent="0.2">
      <c r="A754" s="105"/>
      <c r="B754" s="206" t="s">
        <v>269</v>
      </c>
      <c r="C754" s="206"/>
      <c r="D754" s="144">
        <v>0</v>
      </c>
      <c r="E754" s="149" t="s">
        <v>294</v>
      </c>
    </row>
    <row r="755" spans="1:9" x14ac:dyDescent="0.2">
      <c r="A755" s="105"/>
      <c r="B755" s="206" t="s">
        <v>270</v>
      </c>
      <c r="C755" s="206"/>
      <c r="D755" s="144">
        <v>0</v>
      </c>
      <c r="E755" s="145" t="s">
        <v>360</v>
      </c>
    </row>
    <row r="756" spans="1:9" x14ac:dyDescent="0.2">
      <c r="A756" s="105"/>
      <c r="B756" s="195" t="s">
        <v>268</v>
      </c>
      <c r="C756" s="196"/>
      <c r="D756" s="144">
        <v>3</v>
      </c>
      <c r="E756" s="149" t="s">
        <v>297</v>
      </c>
    </row>
    <row r="757" spans="1:9" s="105" customFormat="1" x14ac:dyDescent="0.2">
      <c r="B757" s="197" t="s">
        <v>365</v>
      </c>
      <c r="C757" s="198"/>
      <c r="D757" s="144">
        <v>0</v>
      </c>
      <c r="E757" s="145" t="s">
        <v>426</v>
      </c>
      <c r="G757" s="173"/>
      <c r="H757" s="170"/>
      <c r="I757" s="112"/>
    </row>
    <row r="758" spans="1:9" s="105" customFormat="1" ht="13.5" thickBot="1" x14ac:dyDescent="0.25">
      <c r="B758" s="195" t="s">
        <v>366</v>
      </c>
      <c r="C758" s="196"/>
      <c r="D758" s="144">
        <v>0</v>
      </c>
      <c r="E758" s="145" t="s">
        <v>427</v>
      </c>
      <c r="G758" s="173"/>
      <c r="H758" s="170"/>
      <c r="I758" s="112"/>
    </row>
    <row r="759" spans="1:9" ht="27" customHeight="1" thickBot="1" x14ac:dyDescent="0.25">
      <c r="A759" s="105"/>
      <c r="B759" s="199" t="s">
        <v>479</v>
      </c>
      <c r="C759" s="200"/>
      <c r="D759" s="200"/>
      <c r="E759" s="201"/>
    </row>
    <row r="760" spans="1:9" x14ac:dyDescent="0.2">
      <c r="A760" s="105"/>
      <c r="B760" s="135" t="s">
        <v>18</v>
      </c>
      <c r="C760" s="105"/>
      <c r="D760" s="140"/>
      <c r="E760" s="134"/>
    </row>
    <row r="761" spans="1:9" x14ac:dyDescent="0.2">
      <c r="A761" s="105"/>
      <c r="B761" s="146"/>
      <c r="C761" s="193" t="s">
        <v>24</v>
      </c>
      <c r="D761" s="193"/>
      <c r="E761" s="193"/>
    </row>
    <row r="762" spans="1:9" x14ac:dyDescent="0.2">
      <c r="A762" s="105"/>
      <c r="B762" s="135" t="s">
        <v>19</v>
      </c>
      <c r="C762" s="150"/>
      <c r="D762" s="150"/>
      <c r="E762" s="147"/>
    </row>
    <row r="763" spans="1:9" x14ac:dyDescent="0.2">
      <c r="A763" s="105"/>
      <c r="B763" s="146"/>
      <c r="C763" s="193" t="s">
        <v>101</v>
      </c>
      <c r="D763" s="193"/>
      <c r="E763" s="193"/>
    </row>
    <row r="764" spans="1:9" x14ac:dyDescent="0.2">
      <c r="A764" s="105"/>
      <c r="B764" s="135" t="s">
        <v>20</v>
      </c>
      <c r="C764" s="105"/>
      <c r="D764" s="140"/>
      <c r="E764" s="134"/>
    </row>
    <row r="765" spans="1:9" x14ac:dyDescent="0.2">
      <c r="A765" s="105"/>
      <c r="B765" s="135"/>
      <c r="C765" s="194" t="s">
        <v>25</v>
      </c>
      <c r="D765" s="194"/>
      <c r="E765" s="194"/>
    </row>
    <row r="766" spans="1:9" ht="13.5" thickBot="1" x14ac:dyDescent="0.25">
      <c r="A766" s="105"/>
      <c r="B766" s="136"/>
      <c r="C766" s="137"/>
      <c r="D766" s="138"/>
      <c r="E766" s="139"/>
    </row>
    <row r="767" spans="1:9" ht="13.5" thickBot="1" x14ac:dyDescent="0.25">
      <c r="A767" s="105"/>
      <c r="B767" s="105"/>
      <c r="C767" s="105"/>
      <c r="D767" s="140"/>
      <c r="E767" s="105"/>
    </row>
    <row r="768" spans="1:9" x14ac:dyDescent="0.2">
      <c r="A768" s="105"/>
      <c r="B768" s="130" t="s">
        <v>128</v>
      </c>
      <c r="C768" s="131"/>
      <c r="D768" s="132"/>
      <c r="E768" s="133"/>
    </row>
    <row r="769" spans="1:9" x14ac:dyDescent="0.2">
      <c r="A769" s="105"/>
      <c r="B769" s="141"/>
      <c r="C769" s="105"/>
      <c r="D769" s="140"/>
      <c r="E769" s="134"/>
    </row>
    <row r="770" spans="1:9" x14ac:dyDescent="0.2">
      <c r="A770" s="105"/>
      <c r="B770" s="135" t="s">
        <v>16</v>
      </c>
      <c r="C770" s="210"/>
      <c r="D770" s="210"/>
      <c r="E770" s="211"/>
    </row>
    <row r="771" spans="1:9" x14ac:dyDescent="0.2">
      <c r="A771" s="105"/>
      <c r="B771" s="135"/>
      <c r="C771" s="193"/>
      <c r="D771" s="193"/>
      <c r="E771" s="193"/>
    </row>
    <row r="772" spans="1:9" ht="13.5" thickBot="1" x14ac:dyDescent="0.25">
      <c r="A772" s="105"/>
      <c r="B772" s="135" t="s">
        <v>17</v>
      </c>
      <c r="C772" s="105"/>
      <c r="D772" s="140"/>
      <c r="E772" s="134"/>
    </row>
    <row r="773" spans="1:9" ht="13.5" thickBot="1" x14ac:dyDescent="0.25">
      <c r="A773" s="105"/>
      <c r="B773" s="202" t="s">
        <v>98</v>
      </c>
      <c r="C773" s="203"/>
      <c r="D773" s="203"/>
      <c r="E773" s="204"/>
    </row>
    <row r="774" spans="1:9" ht="13.5" thickBot="1" x14ac:dyDescent="0.25">
      <c r="A774" s="105"/>
      <c r="B774" s="202" t="s">
        <v>264</v>
      </c>
      <c r="C774" s="204"/>
      <c r="D774" s="142" t="s">
        <v>11</v>
      </c>
      <c r="E774" s="142" t="s">
        <v>100</v>
      </c>
    </row>
    <row r="775" spans="1:9" x14ac:dyDescent="0.2">
      <c r="A775" s="105"/>
      <c r="B775" s="205" t="s">
        <v>265</v>
      </c>
      <c r="C775" s="205"/>
      <c r="D775" s="143">
        <v>10</v>
      </c>
      <c r="E775" s="148" t="s">
        <v>293</v>
      </c>
    </row>
    <row r="776" spans="1:9" x14ac:dyDescent="0.2">
      <c r="A776" s="105"/>
      <c r="B776" s="206" t="s">
        <v>266</v>
      </c>
      <c r="C776" s="206"/>
      <c r="D776" s="144">
        <v>10</v>
      </c>
      <c r="E776" s="149" t="s">
        <v>295</v>
      </c>
    </row>
    <row r="777" spans="1:9" x14ac:dyDescent="0.2">
      <c r="A777" s="105"/>
      <c r="B777" s="206" t="s">
        <v>267</v>
      </c>
      <c r="C777" s="206"/>
      <c r="D777" s="144">
        <v>9</v>
      </c>
      <c r="E777" s="149" t="s">
        <v>296</v>
      </c>
    </row>
    <row r="778" spans="1:9" x14ac:dyDescent="0.2">
      <c r="A778" s="105"/>
      <c r="B778" s="206" t="s">
        <v>269</v>
      </c>
      <c r="C778" s="206"/>
      <c r="D778" s="144">
        <v>15</v>
      </c>
      <c r="E778" s="149" t="s">
        <v>294</v>
      </c>
    </row>
    <row r="779" spans="1:9" x14ac:dyDescent="0.2">
      <c r="A779" s="105"/>
      <c r="B779" s="206" t="s">
        <v>270</v>
      </c>
      <c r="C779" s="206"/>
      <c r="D779" s="144">
        <v>0</v>
      </c>
      <c r="E779" s="145" t="s">
        <v>360</v>
      </c>
    </row>
    <row r="780" spans="1:9" x14ac:dyDescent="0.2">
      <c r="A780" s="105"/>
      <c r="B780" s="195" t="s">
        <v>268</v>
      </c>
      <c r="C780" s="196"/>
      <c r="D780" s="144">
        <v>3</v>
      </c>
      <c r="E780" s="149" t="s">
        <v>297</v>
      </c>
    </row>
    <row r="781" spans="1:9" s="105" customFormat="1" x14ac:dyDescent="0.2">
      <c r="B781" s="197" t="s">
        <v>365</v>
      </c>
      <c r="C781" s="198"/>
      <c r="D781" s="144">
        <v>4</v>
      </c>
      <c r="E781" s="145" t="s">
        <v>426</v>
      </c>
      <c r="G781" s="173"/>
      <c r="H781" s="170"/>
      <c r="I781" s="112"/>
    </row>
    <row r="782" spans="1:9" s="105" customFormat="1" ht="13.5" thickBot="1" x14ac:dyDescent="0.25">
      <c r="B782" s="195" t="s">
        <v>366</v>
      </c>
      <c r="C782" s="196"/>
      <c r="D782" s="144">
        <v>4</v>
      </c>
      <c r="E782" s="145" t="s">
        <v>427</v>
      </c>
      <c r="G782" s="173"/>
      <c r="H782" s="170"/>
      <c r="I782" s="112"/>
    </row>
    <row r="783" spans="1:9" ht="27" customHeight="1" thickBot="1" x14ac:dyDescent="0.25">
      <c r="A783" s="105"/>
      <c r="B783" s="199" t="s">
        <v>440</v>
      </c>
      <c r="C783" s="200"/>
      <c r="D783" s="200"/>
      <c r="E783" s="201"/>
    </row>
    <row r="784" spans="1:9" x14ac:dyDescent="0.2">
      <c r="A784" s="105"/>
      <c r="B784" s="135" t="s">
        <v>18</v>
      </c>
      <c r="C784" s="105"/>
      <c r="D784" s="140"/>
      <c r="E784" s="134"/>
    </row>
    <row r="785" spans="1:5" x14ac:dyDescent="0.2">
      <c r="A785" s="105"/>
      <c r="B785" s="146"/>
      <c r="C785" s="193" t="s">
        <v>24</v>
      </c>
      <c r="D785" s="193"/>
      <c r="E785" s="193"/>
    </row>
    <row r="786" spans="1:5" x14ac:dyDescent="0.2">
      <c r="A786" s="105"/>
      <c r="B786" s="135" t="s">
        <v>19</v>
      </c>
      <c r="C786" s="150"/>
      <c r="D786" s="150"/>
      <c r="E786" s="147"/>
    </row>
    <row r="787" spans="1:5" x14ac:dyDescent="0.2">
      <c r="A787" s="105"/>
      <c r="B787" s="146"/>
      <c r="C787" s="193" t="s">
        <v>101</v>
      </c>
      <c r="D787" s="193"/>
      <c r="E787" s="193"/>
    </row>
    <row r="788" spans="1:5" x14ac:dyDescent="0.2">
      <c r="A788" s="105"/>
      <c r="B788" s="135" t="s">
        <v>20</v>
      </c>
      <c r="C788" s="105"/>
      <c r="D788" s="140"/>
      <c r="E788" s="134"/>
    </row>
    <row r="789" spans="1:5" x14ac:dyDescent="0.2">
      <c r="A789" s="105"/>
      <c r="B789" s="135"/>
      <c r="C789" s="194" t="s">
        <v>25</v>
      </c>
      <c r="D789" s="194"/>
      <c r="E789" s="194"/>
    </row>
    <row r="790" spans="1:5" ht="13.5" thickBot="1" x14ac:dyDescent="0.25">
      <c r="A790" s="105"/>
      <c r="B790" s="136"/>
      <c r="C790" s="137"/>
      <c r="D790" s="138"/>
      <c r="E790" s="139"/>
    </row>
    <row r="791" spans="1:5" ht="13.5" thickBot="1" x14ac:dyDescent="0.25">
      <c r="A791" s="105"/>
      <c r="B791" s="105"/>
      <c r="C791" s="105"/>
      <c r="D791" s="140"/>
      <c r="E791" s="105"/>
    </row>
    <row r="792" spans="1:5" x14ac:dyDescent="0.2">
      <c r="A792" s="105"/>
      <c r="B792" s="130" t="s">
        <v>247</v>
      </c>
      <c r="C792" s="131"/>
      <c r="D792" s="132"/>
      <c r="E792" s="133"/>
    </row>
    <row r="793" spans="1:5" x14ac:dyDescent="0.2">
      <c r="A793" s="105"/>
      <c r="B793" s="141"/>
      <c r="C793" s="105"/>
      <c r="D793" s="140"/>
      <c r="E793" s="134"/>
    </row>
    <row r="794" spans="1:5" x14ac:dyDescent="0.2">
      <c r="A794" s="105"/>
      <c r="B794" s="135" t="s">
        <v>16</v>
      </c>
      <c r="C794" s="210"/>
      <c r="D794" s="210"/>
      <c r="E794" s="211"/>
    </row>
    <row r="795" spans="1:5" x14ac:dyDescent="0.2">
      <c r="A795" s="105"/>
      <c r="B795" s="135"/>
      <c r="C795" s="193"/>
      <c r="D795" s="193"/>
      <c r="E795" s="193"/>
    </row>
    <row r="796" spans="1:5" ht="13.5" thickBot="1" x14ac:dyDescent="0.25">
      <c r="A796" s="105"/>
      <c r="B796" s="135" t="s">
        <v>17</v>
      </c>
      <c r="C796" s="105"/>
      <c r="D796" s="140"/>
      <c r="E796" s="134"/>
    </row>
    <row r="797" spans="1:5" ht="13.5" thickBot="1" x14ac:dyDescent="0.25">
      <c r="A797" s="105"/>
      <c r="B797" s="202" t="s">
        <v>98</v>
      </c>
      <c r="C797" s="203"/>
      <c r="D797" s="203"/>
      <c r="E797" s="204"/>
    </row>
    <row r="798" spans="1:5" ht="13.5" thickBot="1" x14ac:dyDescent="0.25">
      <c r="A798" s="105"/>
      <c r="B798" s="202" t="s">
        <v>264</v>
      </c>
      <c r="C798" s="204"/>
      <c r="D798" s="142" t="s">
        <v>11</v>
      </c>
      <c r="E798" s="142" t="s">
        <v>100</v>
      </c>
    </row>
    <row r="799" spans="1:5" x14ac:dyDescent="0.2">
      <c r="A799" s="105"/>
      <c r="B799" s="205" t="s">
        <v>265</v>
      </c>
      <c r="C799" s="205"/>
      <c r="D799" s="143">
        <v>5</v>
      </c>
      <c r="E799" s="148" t="s">
        <v>293</v>
      </c>
    </row>
    <row r="800" spans="1:5" x14ac:dyDescent="0.2">
      <c r="A800" s="105"/>
      <c r="B800" s="206" t="s">
        <v>266</v>
      </c>
      <c r="C800" s="206"/>
      <c r="D800" s="144">
        <v>10</v>
      </c>
      <c r="E800" s="149" t="s">
        <v>295</v>
      </c>
    </row>
    <row r="801" spans="1:9" x14ac:dyDescent="0.2">
      <c r="A801" s="105"/>
      <c r="B801" s="206" t="s">
        <v>267</v>
      </c>
      <c r="C801" s="206"/>
      <c r="D801" s="144">
        <v>9</v>
      </c>
      <c r="E801" s="149" t="s">
        <v>296</v>
      </c>
    </row>
    <row r="802" spans="1:9" x14ac:dyDescent="0.2">
      <c r="A802" s="105"/>
      <c r="B802" s="206" t="s">
        <v>269</v>
      </c>
      <c r="C802" s="206"/>
      <c r="D802" s="144">
        <v>20</v>
      </c>
      <c r="E802" s="149" t="s">
        <v>294</v>
      </c>
    </row>
    <row r="803" spans="1:9" x14ac:dyDescent="0.2">
      <c r="A803" s="105"/>
      <c r="B803" s="206" t="s">
        <v>270</v>
      </c>
      <c r="C803" s="206"/>
      <c r="D803" s="144">
        <v>0</v>
      </c>
      <c r="E803" s="145" t="s">
        <v>360</v>
      </c>
    </row>
    <row r="804" spans="1:9" x14ac:dyDescent="0.2">
      <c r="A804" s="105"/>
      <c r="B804" s="195" t="s">
        <v>268</v>
      </c>
      <c r="C804" s="196"/>
      <c r="D804" s="144">
        <v>2</v>
      </c>
      <c r="E804" s="149" t="s">
        <v>297</v>
      </c>
    </row>
    <row r="805" spans="1:9" s="105" customFormat="1" x14ac:dyDescent="0.2">
      <c r="B805" s="197" t="s">
        <v>365</v>
      </c>
      <c r="C805" s="198"/>
      <c r="D805" s="144">
        <v>4</v>
      </c>
      <c r="E805" s="145" t="s">
        <v>426</v>
      </c>
      <c r="G805" s="173"/>
      <c r="H805" s="170"/>
      <c r="I805" s="112"/>
    </row>
    <row r="806" spans="1:9" s="105" customFormat="1" ht="13.5" thickBot="1" x14ac:dyDescent="0.25">
      <c r="B806" s="195" t="s">
        <v>366</v>
      </c>
      <c r="C806" s="196"/>
      <c r="D806" s="144">
        <v>6</v>
      </c>
      <c r="E806" s="145" t="s">
        <v>427</v>
      </c>
      <c r="G806" s="173"/>
      <c r="H806" s="170"/>
      <c r="I806" s="112"/>
    </row>
    <row r="807" spans="1:9" ht="27" customHeight="1" thickBot="1" x14ac:dyDescent="0.25">
      <c r="A807" s="105"/>
      <c r="B807" s="199" t="s">
        <v>480</v>
      </c>
      <c r="C807" s="200"/>
      <c r="D807" s="200"/>
      <c r="E807" s="201"/>
    </row>
    <row r="808" spans="1:9" x14ac:dyDescent="0.2">
      <c r="A808" s="105"/>
      <c r="B808" s="135" t="s">
        <v>18</v>
      </c>
      <c r="C808" s="105"/>
      <c r="D808" s="140"/>
      <c r="E808" s="134"/>
    </row>
    <row r="809" spans="1:9" x14ac:dyDescent="0.2">
      <c r="A809" s="105"/>
      <c r="B809" s="146"/>
      <c r="C809" s="193" t="s">
        <v>24</v>
      </c>
      <c r="D809" s="193"/>
      <c r="E809" s="193"/>
    </row>
    <row r="810" spans="1:9" x14ac:dyDescent="0.2">
      <c r="A810" s="105"/>
      <c r="B810" s="135" t="s">
        <v>19</v>
      </c>
      <c r="C810" s="150"/>
      <c r="D810" s="150"/>
      <c r="E810" s="147"/>
    </row>
    <row r="811" spans="1:9" x14ac:dyDescent="0.2">
      <c r="A811" s="105"/>
      <c r="B811" s="146"/>
      <c r="C811" s="193" t="s">
        <v>101</v>
      </c>
      <c r="D811" s="193"/>
      <c r="E811" s="193"/>
    </row>
    <row r="812" spans="1:9" x14ac:dyDescent="0.2">
      <c r="A812" s="105"/>
      <c r="B812" s="135" t="s">
        <v>20</v>
      </c>
      <c r="C812" s="105"/>
      <c r="D812" s="140"/>
      <c r="E812" s="134"/>
    </row>
    <row r="813" spans="1:9" x14ac:dyDescent="0.2">
      <c r="A813" s="105"/>
      <c r="B813" s="135"/>
      <c r="C813" s="194" t="s">
        <v>25</v>
      </c>
      <c r="D813" s="194"/>
      <c r="E813" s="194"/>
    </row>
    <row r="814" spans="1:9" ht="13.5" thickBot="1" x14ac:dyDescent="0.25">
      <c r="A814" s="105"/>
      <c r="B814" s="136"/>
      <c r="C814" s="137"/>
      <c r="D814" s="138"/>
      <c r="E814" s="139"/>
    </row>
    <row r="815" spans="1:9" ht="13.5" thickBot="1" x14ac:dyDescent="0.25">
      <c r="A815" s="105"/>
      <c r="B815" s="105"/>
      <c r="C815" s="105"/>
      <c r="D815" s="140"/>
      <c r="E815" s="105"/>
    </row>
    <row r="816" spans="1:9" x14ac:dyDescent="0.2">
      <c r="A816" s="105"/>
      <c r="B816" s="130" t="s">
        <v>259</v>
      </c>
      <c r="C816" s="131"/>
      <c r="D816" s="132"/>
      <c r="E816" s="133"/>
    </row>
    <row r="817" spans="1:9" x14ac:dyDescent="0.2">
      <c r="A817" s="105"/>
      <c r="B817" s="141"/>
      <c r="C817" s="105"/>
      <c r="D817" s="140"/>
      <c r="E817" s="134"/>
    </row>
    <row r="818" spans="1:9" x14ac:dyDescent="0.2">
      <c r="A818" s="105"/>
      <c r="B818" s="135" t="s">
        <v>16</v>
      </c>
      <c r="C818" s="210"/>
      <c r="D818" s="210"/>
      <c r="E818" s="211"/>
    </row>
    <row r="819" spans="1:9" x14ac:dyDescent="0.2">
      <c r="A819" s="105"/>
      <c r="B819" s="135"/>
      <c r="C819" s="193"/>
      <c r="D819" s="193"/>
      <c r="E819" s="193"/>
    </row>
    <row r="820" spans="1:9" ht="13.5" thickBot="1" x14ac:dyDescent="0.25">
      <c r="A820" s="105"/>
      <c r="B820" s="135" t="s">
        <v>17</v>
      </c>
      <c r="C820" s="105"/>
      <c r="D820" s="140"/>
      <c r="E820" s="134"/>
    </row>
    <row r="821" spans="1:9" ht="13.5" thickBot="1" x14ac:dyDescent="0.25">
      <c r="A821" s="105"/>
      <c r="B821" s="202" t="s">
        <v>98</v>
      </c>
      <c r="C821" s="203"/>
      <c r="D821" s="203"/>
      <c r="E821" s="204"/>
    </row>
    <row r="822" spans="1:9" ht="13.5" thickBot="1" x14ac:dyDescent="0.25">
      <c r="A822" s="105"/>
      <c r="B822" s="202" t="s">
        <v>264</v>
      </c>
      <c r="C822" s="204"/>
      <c r="D822" s="142" t="s">
        <v>11</v>
      </c>
      <c r="E822" s="142" t="s">
        <v>100</v>
      </c>
    </row>
    <row r="823" spans="1:9" x14ac:dyDescent="0.2">
      <c r="A823" s="105"/>
      <c r="B823" s="205" t="s">
        <v>265</v>
      </c>
      <c r="C823" s="205"/>
      <c r="D823" s="143">
        <v>4</v>
      </c>
      <c r="E823" s="148" t="s">
        <v>293</v>
      </c>
    </row>
    <row r="824" spans="1:9" x14ac:dyDescent="0.2">
      <c r="A824" s="105"/>
      <c r="B824" s="206" t="s">
        <v>266</v>
      </c>
      <c r="C824" s="206"/>
      <c r="D824" s="144">
        <v>10</v>
      </c>
      <c r="E824" s="149" t="s">
        <v>295</v>
      </c>
    </row>
    <row r="825" spans="1:9" x14ac:dyDescent="0.2">
      <c r="A825" s="105"/>
      <c r="B825" s="206" t="s">
        <v>267</v>
      </c>
      <c r="C825" s="206"/>
      <c r="D825" s="144">
        <v>9</v>
      </c>
      <c r="E825" s="149" t="s">
        <v>296</v>
      </c>
    </row>
    <row r="826" spans="1:9" x14ac:dyDescent="0.2">
      <c r="A826" s="105"/>
      <c r="B826" s="206" t="s">
        <v>269</v>
      </c>
      <c r="C826" s="206"/>
      <c r="D826" s="144">
        <v>20</v>
      </c>
      <c r="E826" s="149" t="s">
        <v>294</v>
      </c>
    </row>
    <row r="827" spans="1:9" x14ac:dyDescent="0.2">
      <c r="A827" s="105"/>
      <c r="B827" s="206" t="s">
        <v>270</v>
      </c>
      <c r="C827" s="206"/>
      <c r="D827" s="144">
        <v>0</v>
      </c>
      <c r="E827" s="145" t="s">
        <v>360</v>
      </c>
    </row>
    <row r="828" spans="1:9" x14ac:dyDescent="0.2">
      <c r="A828" s="105"/>
      <c r="B828" s="195" t="s">
        <v>268</v>
      </c>
      <c r="C828" s="196"/>
      <c r="D828" s="144">
        <v>2</v>
      </c>
      <c r="E828" s="149" t="s">
        <v>297</v>
      </c>
    </row>
    <row r="829" spans="1:9" s="105" customFormat="1" x14ac:dyDescent="0.2">
      <c r="B829" s="197" t="s">
        <v>365</v>
      </c>
      <c r="C829" s="198"/>
      <c r="D829" s="144">
        <v>4</v>
      </c>
      <c r="E829" s="145" t="s">
        <v>426</v>
      </c>
      <c r="G829" s="173"/>
      <c r="H829" s="170"/>
      <c r="I829" s="112"/>
    </row>
    <row r="830" spans="1:9" s="105" customFormat="1" ht="13.5" thickBot="1" x14ac:dyDescent="0.25">
      <c r="B830" s="195" t="s">
        <v>366</v>
      </c>
      <c r="C830" s="196"/>
      <c r="D830" s="144">
        <v>10</v>
      </c>
      <c r="E830" s="145" t="s">
        <v>427</v>
      </c>
      <c r="G830" s="173"/>
      <c r="H830" s="170"/>
      <c r="I830" s="112"/>
    </row>
    <row r="831" spans="1:9" ht="13.5" customHeight="1" thickBot="1" x14ac:dyDescent="0.25">
      <c r="A831" s="105"/>
      <c r="B831" s="199" t="s">
        <v>367</v>
      </c>
      <c r="C831" s="200"/>
      <c r="D831" s="200"/>
      <c r="E831" s="201"/>
    </row>
    <row r="832" spans="1:9" x14ac:dyDescent="0.2">
      <c r="A832" s="105"/>
      <c r="B832" s="135" t="s">
        <v>18</v>
      </c>
      <c r="C832" s="105"/>
      <c r="D832" s="140"/>
      <c r="E832" s="134"/>
    </row>
    <row r="833" spans="1:5" x14ac:dyDescent="0.2">
      <c r="A833" s="105"/>
      <c r="B833" s="146"/>
      <c r="C833" s="193" t="s">
        <v>24</v>
      </c>
      <c r="D833" s="193"/>
      <c r="E833" s="193"/>
    </row>
    <row r="834" spans="1:5" x14ac:dyDescent="0.2">
      <c r="A834" s="105"/>
      <c r="B834" s="135" t="s">
        <v>19</v>
      </c>
      <c r="C834" s="150"/>
      <c r="D834" s="150"/>
      <c r="E834" s="147"/>
    </row>
    <row r="835" spans="1:5" x14ac:dyDescent="0.2">
      <c r="A835" s="105"/>
      <c r="B835" s="146"/>
      <c r="C835" s="193" t="s">
        <v>101</v>
      </c>
      <c r="D835" s="193"/>
      <c r="E835" s="193"/>
    </row>
    <row r="836" spans="1:5" x14ac:dyDescent="0.2">
      <c r="A836" s="105"/>
      <c r="B836" s="135" t="s">
        <v>20</v>
      </c>
      <c r="C836" s="105"/>
      <c r="D836" s="140"/>
      <c r="E836" s="134"/>
    </row>
    <row r="837" spans="1:5" x14ac:dyDescent="0.2">
      <c r="A837" s="105"/>
      <c r="B837" s="135"/>
      <c r="C837" s="194" t="s">
        <v>25</v>
      </c>
      <c r="D837" s="194"/>
      <c r="E837" s="194"/>
    </row>
    <row r="838" spans="1:5" ht="13.5" thickBot="1" x14ac:dyDescent="0.25">
      <c r="A838" s="105"/>
      <c r="B838" s="136"/>
      <c r="C838" s="137"/>
      <c r="D838" s="138"/>
      <c r="E838" s="139"/>
    </row>
    <row r="839" spans="1:5" ht="13.5" thickBot="1" x14ac:dyDescent="0.25">
      <c r="A839" s="105"/>
      <c r="B839" s="105"/>
      <c r="C839" s="105"/>
      <c r="D839" s="140"/>
      <c r="E839" s="105"/>
    </row>
    <row r="840" spans="1:5" x14ac:dyDescent="0.2">
      <c r="A840" s="105"/>
      <c r="B840" s="130" t="s">
        <v>260</v>
      </c>
      <c r="C840" s="131"/>
      <c r="D840" s="132"/>
      <c r="E840" s="133"/>
    </row>
    <row r="841" spans="1:5" x14ac:dyDescent="0.2">
      <c r="A841" s="105"/>
      <c r="B841" s="141"/>
      <c r="C841" s="105"/>
      <c r="D841" s="140"/>
      <c r="E841" s="134"/>
    </row>
    <row r="842" spans="1:5" x14ac:dyDescent="0.2">
      <c r="A842" s="105"/>
      <c r="B842" s="135" t="s">
        <v>16</v>
      </c>
      <c r="C842" s="210"/>
      <c r="D842" s="210"/>
      <c r="E842" s="211"/>
    </row>
    <row r="843" spans="1:5" ht="12.75" customHeight="1" x14ac:dyDescent="0.2">
      <c r="A843" s="105"/>
      <c r="B843" s="135"/>
      <c r="C843" s="209"/>
      <c r="D843" s="209"/>
      <c r="E843" s="193"/>
    </row>
    <row r="844" spans="1:5" ht="13.5" thickBot="1" x14ac:dyDescent="0.25">
      <c r="A844" s="105"/>
      <c r="B844" s="135" t="s">
        <v>17</v>
      </c>
      <c r="C844" s="105"/>
      <c r="D844" s="140"/>
      <c r="E844" s="134"/>
    </row>
    <row r="845" spans="1:5" ht="13.5" thickBot="1" x14ac:dyDescent="0.25">
      <c r="A845" s="105"/>
      <c r="B845" s="202" t="s">
        <v>98</v>
      </c>
      <c r="C845" s="203"/>
      <c r="D845" s="203"/>
      <c r="E845" s="204"/>
    </row>
    <row r="846" spans="1:5" ht="13.5" thickBot="1" x14ac:dyDescent="0.25">
      <c r="A846" s="105"/>
      <c r="B846" s="202" t="s">
        <v>264</v>
      </c>
      <c r="C846" s="204"/>
      <c r="D846" s="142" t="s">
        <v>11</v>
      </c>
      <c r="E846" s="142" t="s">
        <v>100</v>
      </c>
    </row>
    <row r="847" spans="1:5" x14ac:dyDescent="0.2">
      <c r="A847" s="105"/>
      <c r="B847" s="205" t="s">
        <v>265</v>
      </c>
      <c r="C847" s="205"/>
      <c r="D847" s="143">
        <v>4</v>
      </c>
      <c r="E847" s="148" t="s">
        <v>293</v>
      </c>
    </row>
    <row r="848" spans="1:5" x14ac:dyDescent="0.2">
      <c r="A848" s="105"/>
      <c r="B848" s="206" t="s">
        <v>266</v>
      </c>
      <c r="C848" s="206"/>
      <c r="D848" s="144">
        <v>7</v>
      </c>
      <c r="E848" s="149" t="s">
        <v>295</v>
      </c>
    </row>
    <row r="849" spans="1:9" x14ac:dyDescent="0.2">
      <c r="A849" s="105"/>
      <c r="B849" s="206" t="s">
        <v>267</v>
      </c>
      <c r="C849" s="206"/>
      <c r="D849" s="144">
        <v>3</v>
      </c>
      <c r="E849" s="149" t="s">
        <v>296</v>
      </c>
    </row>
    <row r="850" spans="1:9" x14ac:dyDescent="0.2">
      <c r="A850" s="105"/>
      <c r="B850" s="206" t="s">
        <v>269</v>
      </c>
      <c r="C850" s="206"/>
      <c r="D850" s="144">
        <v>21</v>
      </c>
      <c r="E850" s="149" t="s">
        <v>294</v>
      </c>
    </row>
    <row r="851" spans="1:9" x14ac:dyDescent="0.2">
      <c r="A851" s="105"/>
      <c r="B851" s="206" t="s">
        <v>270</v>
      </c>
      <c r="C851" s="206"/>
      <c r="D851" s="144">
        <v>0</v>
      </c>
      <c r="E851" s="145" t="s">
        <v>360</v>
      </c>
    </row>
    <row r="852" spans="1:9" x14ac:dyDescent="0.2">
      <c r="A852" s="105"/>
      <c r="B852" s="195" t="s">
        <v>268</v>
      </c>
      <c r="C852" s="196"/>
      <c r="D852" s="144">
        <v>0</v>
      </c>
      <c r="E852" s="149" t="s">
        <v>297</v>
      </c>
    </row>
    <row r="853" spans="1:9" s="105" customFormat="1" x14ac:dyDescent="0.2">
      <c r="B853" s="197" t="s">
        <v>365</v>
      </c>
      <c r="C853" s="198"/>
      <c r="D853" s="144">
        <v>0</v>
      </c>
      <c r="E853" s="145" t="s">
        <v>426</v>
      </c>
      <c r="G853" s="173"/>
      <c r="H853" s="170"/>
      <c r="I853" s="112"/>
    </row>
    <row r="854" spans="1:9" s="105" customFormat="1" ht="13.5" thickBot="1" x14ac:dyDescent="0.25">
      <c r="B854" s="195" t="s">
        <v>366</v>
      </c>
      <c r="C854" s="196"/>
      <c r="D854" s="144">
        <v>25</v>
      </c>
      <c r="E854" s="145" t="s">
        <v>427</v>
      </c>
      <c r="G854" s="173"/>
      <c r="H854" s="170"/>
      <c r="I854" s="112"/>
    </row>
    <row r="855" spans="1:9" ht="13.5" customHeight="1" thickBot="1" x14ac:dyDescent="0.25">
      <c r="A855" s="105"/>
      <c r="B855" s="199" t="s">
        <v>378</v>
      </c>
      <c r="C855" s="200"/>
      <c r="D855" s="200"/>
      <c r="E855" s="201"/>
    </row>
    <row r="856" spans="1:9" x14ac:dyDescent="0.2">
      <c r="A856" s="105"/>
      <c r="B856" s="135" t="s">
        <v>18</v>
      </c>
      <c r="C856" s="105"/>
      <c r="D856" s="140"/>
      <c r="E856" s="134"/>
    </row>
    <row r="857" spans="1:9" x14ac:dyDescent="0.2">
      <c r="A857" s="105"/>
      <c r="B857" s="146"/>
      <c r="C857" s="193" t="s">
        <v>24</v>
      </c>
      <c r="D857" s="193"/>
      <c r="E857" s="193"/>
    </row>
    <row r="858" spans="1:9" x14ac:dyDescent="0.2">
      <c r="A858" s="105"/>
      <c r="B858" s="135" t="s">
        <v>19</v>
      </c>
      <c r="C858" s="150"/>
      <c r="D858" s="150"/>
      <c r="E858" s="147"/>
    </row>
    <row r="859" spans="1:9" x14ac:dyDescent="0.2">
      <c r="A859" s="105"/>
      <c r="B859" s="146"/>
      <c r="C859" s="193" t="s">
        <v>101</v>
      </c>
      <c r="D859" s="193"/>
      <c r="E859" s="193"/>
    </row>
    <row r="860" spans="1:9" x14ac:dyDescent="0.2">
      <c r="A860" s="105"/>
      <c r="B860" s="135" t="s">
        <v>20</v>
      </c>
      <c r="C860" s="105"/>
      <c r="D860" s="140"/>
      <c r="E860" s="134"/>
    </row>
    <row r="861" spans="1:9" x14ac:dyDescent="0.2">
      <c r="A861" s="105"/>
      <c r="B861" s="135"/>
      <c r="C861" s="194" t="s">
        <v>25</v>
      </c>
      <c r="D861" s="194"/>
      <c r="E861" s="194"/>
    </row>
    <row r="862" spans="1:9" ht="13.5" thickBot="1" x14ac:dyDescent="0.25">
      <c r="A862" s="105"/>
      <c r="B862" s="136"/>
      <c r="C862" s="137"/>
      <c r="D862" s="138"/>
      <c r="E862" s="139"/>
    </row>
    <row r="863" spans="1:9" ht="13.5" thickBot="1" x14ac:dyDescent="0.25">
      <c r="A863" s="105"/>
      <c r="B863" s="105"/>
      <c r="C863" s="105"/>
      <c r="D863" s="140"/>
      <c r="E863" s="105"/>
    </row>
    <row r="864" spans="1:9" x14ac:dyDescent="0.2">
      <c r="A864" s="105"/>
      <c r="B864" s="130" t="s">
        <v>261</v>
      </c>
      <c r="C864" s="131"/>
      <c r="D864" s="132"/>
      <c r="E864" s="133"/>
    </row>
    <row r="865" spans="1:9" x14ac:dyDescent="0.2">
      <c r="A865" s="105"/>
      <c r="B865" s="141"/>
      <c r="C865" s="105"/>
      <c r="D865" s="140"/>
      <c r="E865" s="134"/>
    </row>
    <row r="866" spans="1:9" x14ac:dyDescent="0.2">
      <c r="A866" s="105"/>
      <c r="B866" s="135" t="s">
        <v>16</v>
      </c>
      <c r="C866" s="210"/>
      <c r="D866" s="210"/>
      <c r="E866" s="211"/>
    </row>
    <row r="867" spans="1:9" x14ac:dyDescent="0.2">
      <c r="A867" s="105"/>
      <c r="B867" s="135"/>
      <c r="C867" s="193"/>
      <c r="D867" s="193"/>
      <c r="E867" s="193"/>
    </row>
    <row r="868" spans="1:9" ht="13.5" thickBot="1" x14ac:dyDescent="0.25">
      <c r="A868" s="105"/>
      <c r="B868" s="135" t="s">
        <v>17</v>
      </c>
      <c r="C868" s="105"/>
      <c r="D868" s="140"/>
      <c r="E868" s="134"/>
    </row>
    <row r="869" spans="1:9" ht="13.5" thickBot="1" x14ac:dyDescent="0.25">
      <c r="A869" s="105"/>
      <c r="B869" s="202" t="s">
        <v>98</v>
      </c>
      <c r="C869" s="203"/>
      <c r="D869" s="203"/>
      <c r="E869" s="204"/>
    </row>
    <row r="870" spans="1:9" ht="13.5" thickBot="1" x14ac:dyDescent="0.25">
      <c r="A870" s="105"/>
      <c r="B870" s="202" t="s">
        <v>264</v>
      </c>
      <c r="C870" s="204"/>
      <c r="D870" s="142" t="s">
        <v>11</v>
      </c>
      <c r="E870" s="142" t="s">
        <v>100</v>
      </c>
    </row>
    <row r="871" spans="1:9" x14ac:dyDescent="0.2">
      <c r="A871" s="105"/>
      <c r="B871" s="205" t="s">
        <v>265</v>
      </c>
      <c r="C871" s="205"/>
      <c r="D871" s="143">
        <v>3</v>
      </c>
      <c r="E871" s="148" t="s">
        <v>293</v>
      </c>
    </row>
    <row r="872" spans="1:9" x14ac:dyDescent="0.2">
      <c r="A872" s="105"/>
      <c r="B872" s="206" t="s">
        <v>266</v>
      </c>
      <c r="C872" s="206"/>
      <c r="D872" s="144">
        <v>7</v>
      </c>
      <c r="E872" s="149" t="s">
        <v>295</v>
      </c>
    </row>
    <row r="873" spans="1:9" x14ac:dyDescent="0.2">
      <c r="A873" s="105"/>
      <c r="B873" s="206" t="s">
        <v>267</v>
      </c>
      <c r="C873" s="206"/>
      <c r="D873" s="144">
        <v>2</v>
      </c>
      <c r="E873" s="149" t="s">
        <v>296</v>
      </c>
    </row>
    <row r="874" spans="1:9" x14ac:dyDescent="0.2">
      <c r="A874" s="105"/>
      <c r="B874" s="206" t="s">
        <v>269</v>
      </c>
      <c r="C874" s="206"/>
      <c r="D874" s="144">
        <v>19</v>
      </c>
      <c r="E874" s="149" t="s">
        <v>294</v>
      </c>
    </row>
    <row r="875" spans="1:9" x14ac:dyDescent="0.2">
      <c r="A875" s="105"/>
      <c r="B875" s="206" t="s">
        <v>270</v>
      </c>
      <c r="C875" s="206"/>
      <c r="D875" s="144">
        <v>0</v>
      </c>
      <c r="E875" s="145" t="s">
        <v>360</v>
      </c>
    </row>
    <row r="876" spans="1:9" x14ac:dyDescent="0.2">
      <c r="A876" s="105"/>
      <c r="B876" s="195" t="s">
        <v>268</v>
      </c>
      <c r="C876" s="196"/>
      <c r="D876" s="144">
        <v>1</v>
      </c>
      <c r="E876" s="149" t="s">
        <v>297</v>
      </c>
    </row>
    <row r="877" spans="1:9" s="105" customFormat="1" x14ac:dyDescent="0.2">
      <c r="B877" s="197" t="s">
        <v>365</v>
      </c>
      <c r="C877" s="198"/>
      <c r="D877" s="144">
        <v>10</v>
      </c>
      <c r="E877" s="145" t="s">
        <v>426</v>
      </c>
      <c r="G877" s="173"/>
      <c r="H877" s="170"/>
      <c r="I877" s="112"/>
    </row>
    <row r="878" spans="1:9" s="105" customFormat="1" ht="13.5" thickBot="1" x14ac:dyDescent="0.25">
      <c r="B878" s="195" t="s">
        <v>366</v>
      </c>
      <c r="C878" s="196"/>
      <c r="D878" s="144">
        <v>10</v>
      </c>
      <c r="E878" s="145" t="s">
        <v>427</v>
      </c>
      <c r="G878" s="173"/>
      <c r="H878" s="170"/>
      <c r="I878" s="112"/>
    </row>
    <row r="879" spans="1:9" ht="13.5" customHeight="1" thickBot="1" x14ac:dyDescent="0.25">
      <c r="A879" s="105"/>
      <c r="B879" s="199" t="s">
        <v>361</v>
      </c>
      <c r="C879" s="200"/>
      <c r="D879" s="200"/>
      <c r="E879" s="201"/>
    </row>
    <row r="880" spans="1:9" x14ac:dyDescent="0.2">
      <c r="A880" s="105"/>
      <c r="B880" s="135" t="s">
        <v>18</v>
      </c>
      <c r="C880" s="105"/>
      <c r="D880" s="140"/>
      <c r="E880" s="134"/>
    </row>
    <row r="881" spans="1:5" x14ac:dyDescent="0.2">
      <c r="A881" s="105"/>
      <c r="B881" s="146"/>
      <c r="C881" s="193" t="s">
        <v>24</v>
      </c>
      <c r="D881" s="193"/>
      <c r="E881" s="193"/>
    </row>
    <row r="882" spans="1:5" x14ac:dyDescent="0.2">
      <c r="A882" s="105"/>
      <c r="B882" s="135" t="s">
        <v>19</v>
      </c>
      <c r="C882" s="150"/>
      <c r="D882" s="150"/>
      <c r="E882" s="147"/>
    </row>
    <row r="883" spans="1:5" x14ac:dyDescent="0.2">
      <c r="A883" s="105"/>
      <c r="B883" s="146"/>
      <c r="C883" s="193" t="s">
        <v>101</v>
      </c>
      <c r="D883" s="193"/>
      <c r="E883" s="193"/>
    </row>
    <row r="884" spans="1:5" x14ac:dyDescent="0.2">
      <c r="A884" s="105"/>
      <c r="B884" s="135" t="s">
        <v>20</v>
      </c>
      <c r="C884" s="105"/>
      <c r="D884" s="140"/>
      <c r="E884" s="134"/>
    </row>
    <row r="885" spans="1:5" x14ac:dyDescent="0.2">
      <c r="A885" s="105"/>
      <c r="B885" s="135"/>
      <c r="C885" s="194" t="s">
        <v>25</v>
      </c>
      <c r="D885" s="194"/>
      <c r="E885" s="194"/>
    </row>
    <row r="886" spans="1:5" ht="13.5" thickBot="1" x14ac:dyDescent="0.25">
      <c r="A886" s="105"/>
      <c r="B886" s="136"/>
      <c r="C886" s="137"/>
      <c r="D886" s="138"/>
      <c r="E886" s="139"/>
    </row>
    <row r="887" spans="1:5" ht="13.5" thickBot="1" x14ac:dyDescent="0.25">
      <c r="A887" s="105"/>
      <c r="B887" s="105"/>
      <c r="C887" s="105"/>
      <c r="D887" s="140"/>
      <c r="E887" s="105"/>
    </row>
    <row r="888" spans="1:5" x14ac:dyDescent="0.2">
      <c r="A888" s="105"/>
      <c r="B888" s="130" t="s">
        <v>262</v>
      </c>
      <c r="C888" s="131"/>
      <c r="D888" s="132"/>
      <c r="E888" s="133"/>
    </row>
    <row r="889" spans="1:5" x14ac:dyDescent="0.2">
      <c r="A889" s="105"/>
      <c r="B889" s="141"/>
      <c r="C889" s="105"/>
      <c r="D889" s="140"/>
      <c r="E889" s="134"/>
    </row>
    <row r="890" spans="1:5" x14ac:dyDescent="0.2">
      <c r="A890" s="105"/>
      <c r="B890" s="135" t="s">
        <v>16</v>
      </c>
      <c r="C890" s="210"/>
      <c r="D890" s="210"/>
      <c r="E890" s="211"/>
    </row>
    <row r="891" spans="1:5" x14ac:dyDescent="0.2">
      <c r="A891" s="105"/>
      <c r="B891" s="135"/>
      <c r="C891" s="193"/>
      <c r="D891" s="193"/>
      <c r="E891" s="193"/>
    </row>
    <row r="892" spans="1:5" ht="13.5" thickBot="1" x14ac:dyDescent="0.25">
      <c r="A892" s="105"/>
      <c r="B892" s="135" t="s">
        <v>17</v>
      </c>
      <c r="C892" s="105"/>
      <c r="D892" s="140"/>
      <c r="E892" s="134"/>
    </row>
    <row r="893" spans="1:5" ht="13.5" thickBot="1" x14ac:dyDescent="0.25">
      <c r="A893" s="105"/>
      <c r="B893" s="202" t="s">
        <v>98</v>
      </c>
      <c r="C893" s="203"/>
      <c r="D893" s="203"/>
      <c r="E893" s="204"/>
    </row>
    <row r="894" spans="1:5" ht="13.5" thickBot="1" x14ac:dyDescent="0.25">
      <c r="A894" s="105"/>
      <c r="B894" s="202" t="s">
        <v>264</v>
      </c>
      <c r="C894" s="204"/>
      <c r="D894" s="142" t="s">
        <v>11</v>
      </c>
      <c r="E894" s="142" t="s">
        <v>100</v>
      </c>
    </row>
    <row r="895" spans="1:5" x14ac:dyDescent="0.2">
      <c r="A895" s="105"/>
      <c r="B895" s="205" t="s">
        <v>265</v>
      </c>
      <c r="C895" s="205"/>
      <c r="D895" s="143">
        <v>5</v>
      </c>
      <c r="E895" s="148" t="s">
        <v>293</v>
      </c>
    </row>
    <row r="896" spans="1:5" x14ac:dyDescent="0.2">
      <c r="A896" s="105"/>
      <c r="B896" s="206" t="s">
        <v>266</v>
      </c>
      <c r="C896" s="206"/>
      <c r="D896" s="144">
        <v>0</v>
      </c>
      <c r="E896" s="149" t="s">
        <v>295</v>
      </c>
    </row>
    <row r="897" spans="1:9" x14ac:dyDescent="0.2">
      <c r="A897" s="105"/>
      <c r="B897" s="206" t="s">
        <v>267</v>
      </c>
      <c r="C897" s="206"/>
      <c r="D897" s="144">
        <v>2</v>
      </c>
      <c r="E897" s="149" t="s">
        <v>296</v>
      </c>
    </row>
    <row r="898" spans="1:9" x14ac:dyDescent="0.2">
      <c r="A898" s="105"/>
      <c r="B898" s="206" t="s">
        <v>269</v>
      </c>
      <c r="C898" s="206"/>
      <c r="D898" s="144">
        <v>15</v>
      </c>
      <c r="E898" s="149" t="s">
        <v>294</v>
      </c>
    </row>
    <row r="899" spans="1:9" x14ac:dyDescent="0.2">
      <c r="A899" s="105"/>
      <c r="B899" s="206" t="s">
        <v>270</v>
      </c>
      <c r="C899" s="206"/>
      <c r="D899" s="144">
        <v>0</v>
      </c>
      <c r="E899" s="145" t="s">
        <v>360</v>
      </c>
    </row>
    <row r="900" spans="1:9" x14ac:dyDescent="0.2">
      <c r="A900" s="105"/>
      <c r="B900" s="195" t="s">
        <v>268</v>
      </c>
      <c r="C900" s="196"/>
      <c r="D900" s="144">
        <v>2</v>
      </c>
      <c r="E900" s="149" t="s">
        <v>297</v>
      </c>
    </row>
    <row r="901" spans="1:9" s="105" customFormat="1" x14ac:dyDescent="0.2">
      <c r="B901" s="197" t="s">
        <v>365</v>
      </c>
      <c r="C901" s="198"/>
      <c r="D901" s="144">
        <v>0</v>
      </c>
      <c r="E901" s="145" t="s">
        <v>426</v>
      </c>
      <c r="G901" s="173"/>
      <c r="H901" s="170"/>
      <c r="I901" s="112"/>
    </row>
    <row r="902" spans="1:9" s="105" customFormat="1" ht="13.5" thickBot="1" x14ac:dyDescent="0.25">
      <c r="B902" s="195" t="s">
        <v>366</v>
      </c>
      <c r="C902" s="196"/>
      <c r="D902" s="144">
        <v>0</v>
      </c>
      <c r="E902" s="145" t="s">
        <v>427</v>
      </c>
      <c r="G902" s="173"/>
      <c r="H902" s="170"/>
      <c r="I902" s="112"/>
    </row>
    <row r="903" spans="1:9" ht="13.5" customHeight="1" thickBot="1" x14ac:dyDescent="0.25">
      <c r="A903" s="105"/>
      <c r="B903" s="199" t="s">
        <v>364</v>
      </c>
      <c r="C903" s="200"/>
      <c r="D903" s="200"/>
      <c r="E903" s="201"/>
    </row>
    <row r="904" spans="1:9" x14ac:dyDescent="0.2">
      <c r="A904" s="105"/>
      <c r="B904" s="135" t="s">
        <v>18</v>
      </c>
      <c r="C904" s="105"/>
      <c r="D904" s="140"/>
      <c r="E904" s="134"/>
    </row>
    <row r="905" spans="1:9" x14ac:dyDescent="0.2">
      <c r="A905" s="105"/>
      <c r="B905" s="146"/>
      <c r="C905" s="193" t="s">
        <v>24</v>
      </c>
      <c r="D905" s="193"/>
      <c r="E905" s="193"/>
    </row>
    <row r="906" spans="1:9" x14ac:dyDescent="0.2">
      <c r="A906" s="105"/>
      <c r="B906" s="135" t="s">
        <v>19</v>
      </c>
      <c r="C906" s="150"/>
      <c r="D906" s="150"/>
      <c r="E906" s="147"/>
    </row>
    <row r="907" spans="1:9" x14ac:dyDescent="0.2">
      <c r="A907" s="105"/>
      <c r="B907" s="146"/>
      <c r="C907" s="193" t="s">
        <v>101</v>
      </c>
      <c r="D907" s="193"/>
      <c r="E907" s="193"/>
    </row>
    <row r="908" spans="1:9" x14ac:dyDescent="0.2">
      <c r="A908" s="105"/>
      <c r="B908" s="135" t="s">
        <v>20</v>
      </c>
      <c r="C908" s="105"/>
      <c r="D908" s="140"/>
      <c r="E908" s="134"/>
    </row>
    <row r="909" spans="1:9" x14ac:dyDescent="0.2">
      <c r="A909" s="105"/>
      <c r="B909" s="135"/>
      <c r="C909" s="194" t="s">
        <v>25</v>
      </c>
      <c r="D909" s="194"/>
      <c r="E909" s="194"/>
    </row>
    <row r="910" spans="1:9" ht="13.5" thickBot="1" x14ac:dyDescent="0.25">
      <c r="A910" s="105"/>
      <c r="B910" s="136"/>
      <c r="C910" s="137"/>
      <c r="D910" s="138"/>
      <c r="E910" s="139"/>
    </row>
    <row r="911" spans="1:9" x14ac:dyDescent="0.2">
      <c r="A911" s="105"/>
      <c r="B911" s="105"/>
      <c r="C911" s="105"/>
      <c r="D911" s="140"/>
      <c r="E911" s="105"/>
    </row>
    <row r="912" spans="1:9" ht="13.5" thickBot="1" x14ac:dyDescent="0.25">
      <c r="A912" s="105"/>
      <c r="B912" s="105"/>
      <c r="C912" s="105"/>
      <c r="D912" s="140"/>
      <c r="E912" s="105"/>
    </row>
    <row r="913" spans="1:9" x14ac:dyDescent="0.2">
      <c r="A913" s="105"/>
      <c r="B913" s="130" t="s">
        <v>271</v>
      </c>
      <c r="C913" s="131"/>
      <c r="D913" s="132"/>
      <c r="E913" s="133"/>
    </row>
    <row r="914" spans="1:9" x14ac:dyDescent="0.2">
      <c r="A914" s="105"/>
      <c r="B914" s="141"/>
      <c r="C914" s="105"/>
      <c r="D914" s="140"/>
      <c r="E914" s="134"/>
    </row>
    <row r="915" spans="1:9" x14ac:dyDescent="0.2">
      <c r="A915" s="105"/>
      <c r="B915" s="135" t="s">
        <v>16</v>
      </c>
      <c r="C915" s="210"/>
      <c r="D915" s="210"/>
      <c r="E915" s="211"/>
    </row>
    <row r="916" spans="1:9" x14ac:dyDescent="0.2">
      <c r="A916" s="105"/>
      <c r="B916" s="135"/>
      <c r="C916" s="193"/>
      <c r="D916" s="193"/>
      <c r="E916" s="193"/>
    </row>
    <row r="917" spans="1:9" ht="13.5" thickBot="1" x14ac:dyDescent="0.25">
      <c r="A917" s="105"/>
      <c r="B917" s="135" t="s">
        <v>17</v>
      </c>
      <c r="C917" s="105"/>
      <c r="D917" s="140"/>
      <c r="E917" s="134"/>
    </row>
    <row r="918" spans="1:9" ht="13.5" thickBot="1" x14ac:dyDescent="0.25">
      <c r="A918" s="105"/>
      <c r="B918" s="202" t="s">
        <v>98</v>
      </c>
      <c r="C918" s="203"/>
      <c r="D918" s="203"/>
      <c r="E918" s="204"/>
    </row>
    <row r="919" spans="1:9" ht="13.5" thickBot="1" x14ac:dyDescent="0.25">
      <c r="A919" s="105"/>
      <c r="B919" s="202" t="s">
        <v>264</v>
      </c>
      <c r="C919" s="204"/>
      <c r="D919" s="142" t="s">
        <v>11</v>
      </c>
      <c r="E919" s="142" t="s">
        <v>100</v>
      </c>
    </row>
    <row r="920" spans="1:9" x14ac:dyDescent="0.2">
      <c r="A920" s="105"/>
      <c r="B920" s="205" t="s">
        <v>265</v>
      </c>
      <c r="C920" s="205"/>
      <c r="D920" s="143">
        <v>0</v>
      </c>
      <c r="E920" s="148" t="s">
        <v>293</v>
      </c>
    </row>
    <row r="921" spans="1:9" x14ac:dyDescent="0.2">
      <c r="A921" s="105"/>
      <c r="B921" s="206" t="s">
        <v>266</v>
      </c>
      <c r="C921" s="206"/>
      <c r="D921" s="144">
        <v>0</v>
      </c>
      <c r="E921" s="149" t="s">
        <v>295</v>
      </c>
    </row>
    <row r="922" spans="1:9" x14ac:dyDescent="0.2">
      <c r="A922" s="105"/>
      <c r="B922" s="206" t="s">
        <v>267</v>
      </c>
      <c r="C922" s="206"/>
      <c r="D922" s="144">
        <v>0</v>
      </c>
      <c r="E922" s="149" t="s">
        <v>296</v>
      </c>
    </row>
    <row r="923" spans="1:9" x14ac:dyDescent="0.2">
      <c r="A923" s="105"/>
      <c r="B923" s="206" t="s">
        <v>269</v>
      </c>
      <c r="C923" s="206"/>
      <c r="D923" s="144">
        <v>0</v>
      </c>
      <c r="E923" s="149" t="s">
        <v>294</v>
      </c>
    </row>
    <row r="924" spans="1:9" x14ac:dyDescent="0.2">
      <c r="A924" s="105"/>
      <c r="B924" s="206" t="s">
        <v>270</v>
      </c>
      <c r="C924" s="206"/>
      <c r="D924" s="144">
        <v>0</v>
      </c>
      <c r="E924" s="145" t="s">
        <v>360</v>
      </c>
    </row>
    <row r="925" spans="1:9" x14ac:dyDescent="0.2">
      <c r="A925" s="105"/>
      <c r="B925" s="195" t="s">
        <v>268</v>
      </c>
      <c r="C925" s="196"/>
      <c r="D925" s="144">
        <v>0</v>
      </c>
      <c r="E925" s="149" t="s">
        <v>297</v>
      </c>
    </row>
    <row r="926" spans="1:9" s="105" customFormat="1" x14ac:dyDescent="0.2">
      <c r="B926" s="197" t="s">
        <v>365</v>
      </c>
      <c r="C926" s="198"/>
      <c r="D926" s="144">
        <v>2</v>
      </c>
      <c r="E926" s="145" t="s">
        <v>426</v>
      </c>
      <c r="G926" s="173"/>
      <c r="H926" s="170"/>
      <c r="I926" s="112"/>
    </row>
    <row r="927" spans="1:9" s="105" customFormat="1" ht="13.5" thickBot="1" x14ac:dyDescent="0.25">
      <c r="B927" s="195" t="s">
        <v>366</v>
      </c>
      <c r="C927" s="196"/>
      <c r="D927" s="144">
        <v>0</v>
      </c>
      <c r="E927" s="145" t="s">
        <v>427</v>
      </c>
      <c r="G927" s="173"/>
      <c r="H927" s="170"/>
      <c r="I927" s="112"/>
    </row>
    <row r="928" spans="1:9" ht="13.5" customHeight="1" thickBot="1" x14ac:dyDescent="0.25">
      <c r="A928" s="105"/>
      <c r="B928" s="199" t="s">
        <v>371</v>
      </c>
      <c r="C928" s="200"/>
      <c r="D928" s="200"/>
      <c r="E928" s="201"/>
    </row>
    <row r="929" spans="1:5" x14ac:dyDescent="0.2">
      <c r="A929" s="105"/>
      <c r="B929" s="135" t="s">
        <v>18</v>
      </c>
      <c r="C929" s="105"/>
      <c r="D929" s="140"/>
      <c r="E929" s="134"/>
    </row>
    <row r="930" spans="1:5" x14ac:dyDescent="0.2">
      <c r="A930" s="105"/>
      <c r="B930" s="146"/>
      <c r="C930" s="193" t="s">
        <v>24</v>
      </c>
      <c r="D930" s="193"/>
      <c r="E930" s="193"/>
    </row>
    <row r="931" spans="1:5" x14ac:dyDescent="0.2">
      <c r="A931" s="105"/>
      <c r="B931" s="135" t="s">
        <v>19</v>
      </c>
      <c r="C931" s="150"/>
      <c r="D931" s="150"/>
      <c r="E931" s="147"/>
    </row>
    <row r="932" spans="1:5" x14ac:dyDescent="0.2">
      <c r="A932" s="105"/>
      <c r="B932" s="146"/>
      <c r="C932" s="193" t="s">
        <v>101</v>
      </c>
      <c r="D932" s="193"/>
      <c r="E932" s="193"/>
    </row>
    <row r="933" spans="1:5" x14ac:dyDescent="0.2">
      <c r="A933" s="105"/>
      <c r="B933" s="135" t="s">
        <v>20</v>
      </c>
      <c r="C933" s="105"/>
      <c r="D933" s="140"/>
      <c r="E933" s="134"/>
    </row>
    <row r="934" spans="1:5" x14ac:dyDescent="0.2">
      <c r="A934" s="105"/>
      <c r="B934" s="135"/>
      <c r="C934" s="194" t="s">
        <v>25</v>
      </c>
      <c r="D934" s="194"/>
      <c r="E934" s="194"/>
    </row>
    <row r="935" spans="1:5" ht="13.5" thickBot="1" x14ac:dyDescent="0.25">
      <c r="A935" s="105"/>
      <c r="B935" s="136"/>
      <c r="C935" s="137"/>
      <c r="D935" s="138"/>
      <c r="E935" s="139"/>
    </row>
    <row r="936" spans="1:5" ht="13.5" thickBot="1" x14ac:dyDescent="0.25">
      <c r="A936" s="105"/>
      <c r="B936" s="105"/>
      <c r="C936" s="105"/>
      <c r="D936" s="140"/>
      <c r="E936" s="105"/>
    </row>
    <row r="937" spans="1:5" x14ac:dyDescent="0.2">
      <c r="A937" s="105"/>
      <c r="B937" s="130" t="s">
        <v>272</v>
      </c>
      <c r="C937" s="131"/>
      <c r="D937" s="132"/>
      <c r="E937" s="133"/>
    </row>
    <row r="938" spans="1:5" x14ac:dyDescent="0.2">
      <c r="A938" s="105"/>
      <c r="B938" s="141"/>
      <c r="C938" s="105"/>
      <c r="D938" s="140"/>
      <c r="E938" s="134"/>
    </row>
    <row r="939" spans="1:5" x14ac:dyDescent="0.2">
      <c r="A939" s="105"/>
      <c r="B939" s="135" t="s">
        <v>16</v>
      </c>
      <c r="C939" s="210"/>
      <c r="D939" s="210"/>
      <c r="E939" s="211"/>
    </row>
    <row r="940" spans="1:5" x14ac:dyDescent="0.2">
      <c r="A940" s="105"/>
      <c r="B940" s="135"/>
      <c r="C940" s="193"/>
      <c r="D940" s="193"/>
      <c r="E940" s="193"/>
    </row>
    <row r="941" spans="1:5" ht="13.5" thickBot="1" x14ac:dyDescent="0.25">
      <c r="A941" s="105"/>
      <c r="B941" s="135" t="s">
        <v>17</v>
      </c>
      <c r="C941" s="105"/>
      <c r="D941" s="140"/>
      <c r="E941" s="134"/>
    </row>
    <row r="942" spans="1:5" ht="13.5" thickBot="1" x14ac:dyDescent="0.25">
      <c r="A942" s="105"/>
      <c r="B942" s="202" t="s">
        <v>98</v>
      </c>
      <c r="C942" s="203"/>
      <c r="D942" s="203"/>
      <c r="E942" s="204"/>
    </row>
    <row r="943" spans="1:5" ht="13.5" thickBot="1" x14ac:dyDescent="0.25">
      <c r="A943" s="105"/>
      <c r="B943" s="202" t="s">
        <v>264</v>
      </c>
      <c r="C943" s="204"/>
      <c r="D943" s="142" t="s">
        <v>11</v>
      </c>
      <c r="E943" s="142" t="s">
        <v>100</v>
      </c>
    </row>
    <row r="944" spans="1:5" x14ac:dyDescent="0.2">
      <c r="A944" s="105"/>
      <c r="B944" s="205" t="s">
        <v>265</v>
      </c>
      <c r="C944" s="205"/>
      <c r="D944" s="143">
        <v>0</v>
      </c>
      <c r="E944" s="148" t="s">
        <v>293</v>
      </c>
    </row>
    <row r="945" spans="1:9" x14ac:dyDescent="0.2">
      <c r="A945" s="105"/>
      <c r="B945" s="206" t="s">
        <v>266</v>
      </c>
      <c r="C945" s="206"/>
      <c r="D945" s="144">
        <v>0</v>
      </c>
      <c r="E945" s="149" t="s">
        <v>295</v>
      </c>
    </row>
    <row r="946" spans="1:9" x14ac:dyDescent="0.2">
      <c r="A946" s="105"/>
      <c r="B946" s="206" t="s">
        <v>267</v>
      </c>
      <c r="C946" s="206"/>
      <c r="D946" s="144">
        <v>0</v>
      </c>
      <c r="E946" s="149" t="s">
        <v>296</v>
      </c>
    </row>
    <row r="947" spans="1:9" x14ac:dyDescent="0.2">
      <c r="A947" s="105"/>
      <c r="B947" s="206" t="s">
        <v>269</v>
      </c>
      <c r="C947" s="206"/>
      <c r="D947" s="144">
        <v>0</v>
      </c>
      <c r="E947" s="149" t="s">
        <v>294</v>
      </c>
    </row>
    <row r="948" spans="1:9" x14ac:dyDescent="0.2">
      <c r="A948" s="105"/>
      <c r="B948" s="206" t="s">
        <v>270</v>
      </c>
      <c r="C948" s="206"/>
      <c r="D948" s="144">
        <v>0</v>
      </c>
      <c r="E948" s="145" t="s">
        <v>360</v>
      </c>
    </row>
    <row r="949" spans="1:9" x14ac:dyDescent="0.2">
      <c r="A949" s="105"/>
      <c r="B949" s="195" t="s">
        <v>268</v>
      </c>
      <c r="C949" s="196"/>
      <c r="D949" s="144">
        <v>0</v>
      </c>
      <c r="E949" s="149" t="s">
        <v>297</v>
      </c>
    </row>
    <row r="950" spans="1:9" s="105" customFormat="1" x14ac:dyDescent="0.2">
      <c r="B950" s="197" t="s">
        <v>365</v>
      </c>
      <c r="C950" s="198"/>
      <c r="D950" s="144">
        <v>0</v>
      </c>
      <c r="E950" s="145" t="s">
        <v>426</v>
      </c>
      <c r="G950" s="173"/>
      <c r="H950" s="170"/>
      <c r="I950" s="112"/>
    </row>
    <row r="951" spans="1:9" s="105" customFormat="1" ht="13.5" thickBot="1" x14ac:dyDescent="0.25">
      <c r="B951" s="195" t="s">
        <v>366</v>
      </c>
      <c r="C951" s="196"/>
      <c r="D951" s="144">
        <v>2</v>
      </c>
      <c r="E951" s="145" t="s">
        <v>427</v>
      </c>
      <c r="G951" s="173"/>
      <c r="H951" s="170"/>
      <c r="I951" s="112"/>
    </row>
    <row r="952" spans="1:9" ht="13.5" customHeight="1" thickBot="1" x14ac:dyDescent="0.25">
      <c r="A952" s="105"/>
      <c r="B952" s="199" t="s">
        <v>371</v>
      </c>
      <c r="C952" s="200"/>
      <c r="D952" s="200"/>
      <c r="E952" s="201"/>
    </row>
    <row r="953" spans="1:9" x14ac:dyDescent="0.2">
      <c r="A953" s="105"/>
      <c r="B953" s="135" t="s">
        <v>18</v>
      </c>
      <c r="C953" s="105"/>
      <c r="D953" s="140"/>
      <c r="E953" s="134"/>
    </row>
    <row r="954" spans="1:9" x14ac:dyDescent="0.2">
      <c r="A954" s="105"/>
      <c r="B954" s="146"/>
      <c r="C954" s="193" t="s">
        <v>24</v>
      </c>
      <c r="D954" s="193"/>
      <c r="E954" s="193"/>
    </row>
    <row r="955" spans="1:9" x14ac:dyDescent="0.2">
      <c r="A955" s="105"/>
      <c r="B955" s="135" t="s">
        <v>19</v>
      </c>
      <c r="C955" s="150"/>
      <c r="D955" s="150"/>
      <c r="E955" s="147"/>
    </row>
    <row r="956" spans="1:9" x14ac:dyDescent="0.2">
      <c r="A956" s="105"/>
      <c r="B956" s="146"/>
      <c r="C956" s="193" t="s">
        <v>101</v>
      </c>
      <c r="D956" s="193"/>
      <c r="E956" s="193"/>
    </row>
    <row r="957" spans="1:9" x14ac:dyDescent="0.2">
      <c r="A957" s="105"/>
      <c r="B957" s="135" t="s">
        <v>20</v>
      </c>
      <c r="C957" s="105"/>
      <c r="D957" s="140"/>
      <c r="E957" s="134"/>
    </row>
    <row r="958" spans="1:9" x14ac:dyDescent="0.2">
      <c r="A958" s="105"/>
      <c r="B958" s="135"/>
      <c r="C958" s="194" t="s">
        <v>25</v>
      </c>
      <c r="D958" s="194"/>
      <c r="E958" s="194"/>
    </row>
    <row r="959" spans="1:9" ht="13.5" thickBot="1" x14ac:dyDescent="0.25">
      <c r="A959" s="105"/>
      <c r="B959" s="136"/>
      <c r="C959" s="137"/>
      <c r="D959" s="138"/>
      <c r="E959" s="139"/>
    </row>
    <row r="960" spans="1:9" ht="13.5" thickBot="1" x14ac:dyDescent="0.25">
      <c r="A960" s="105"/>
      <c r="B960" s="105"/>
      <c r="C960" s="105"/>
      <c r="D960" s="140"/>
      <c r="E960" s="105"/>
    </row>
    <row r="961" spans="1:6" x14ac:dyDescent="0.2">
      <c r="A961" s="105"/>
      <c r="B961" s="130" t="s">
        <v>273</v>
      </c>
      <c r="C961" s="131"/>
      <c r="D961" s="132"/>
      <c r="E961" s="133"/>
    </row>
    <row r="962" spans="1:6" x14ac:dyDescent="0.2">
      <c r="A962" s="105"/>
      <c r="B962" s="141"/>
      <c r="C962" s="105"/>
      <c r="D962" s="140"/>
      <c r="E962" s="134"/>
    </row>
    <row r="963" spans="1:6" x14ac:dyDescent="0.2">
      <c r="A963" s="105"/>
      <c r="B963" s="135" t="s">
        <v>16</v>
      </c>
      <c r="C963" s="210"/>
      <c r="D963" s="210"/>
      <c r="E963" s="211"/>
    </row>
    <row r="964" spans="1:6" x14ac:dyDescent="0.2">
      <c r="A964" s="105"/>
      <c r="B964" s="135"/>
      <c r="C964" s="193"/>
      <c r="D964" s="193"/>
      <c r="E964" s="193"/>
    </row>
    <row r="965" spans="1:6" ht="13.5" thickBot="1" x14ac:dyDescent="0.25">
      <c r="A965" s="105"/>
      <c r="B965" s="135" t="s">
        <v>17</v>
      </c>
      <c r="C965" s="105"/>
      <c r="D965" s="140"/>
      <c r="E965" s="134"/>
    </row>
    <row r="966" spans="1:6" ht="13.5" thickBot="1" x14ac:dyDescent="0.25">
      <c r="A966" s="105"/>
      <c r="B966" s="202" t="s">
        <v>98</v>
      </c>
      <c r="C966" s="203"/>
      <c r="D966" s="203"/>
      <c r="E966" s="204"/>
    </row>
    <row r="967" spans="1:6" ht="13.5" thickBot="1" x14ac:dyDescent="0.25">
      <c r="A967" s="105"/>
      <c r="B967" s="202" t="s">
        <v>264</v>
      </c>
      <c r="C967" s="204"/>
      <c r="D967" s="142" t="s">
        <v>11</v>
      </c>
      <c r="E967" s="142" t="s">
        <v>100</v>
      </c>
    </row>
    <row r="968" spans="1:6" x14ac:dyDescent="0.2">
      <c r="A968" s="105"/>
      <c r="B968" s="205" t="s">
        <v>265</v>
      </c>
      <c r="C968" s="205"/>
      <c r="D968" s="143">
        <v>0</v>
      </c>
      <c r="E968" s="148" t="s">
        <v>293</v>
      </c>
    </row>
    <row r="969" spans="1:6" x14ac:dyDescent="0.2">
      <c r="A969" s="105"/>
      <c r="B969" s="206" t="s">
        <v>266</v>
      </c>
      <c r="C969" s="206"/>
      <c r="D969" s="144">
        <v>0</v>
      </c>
      <c r="E969" s="149" t="s">
        <v>295</v>
      </c>
    </row>
    <row r="970" spans="1:6" x14ac:dyDescent="0.2">
      <c r="A970" s="105"/>
      <c r="B970" s="206" t="s">
        <v>267</v>
      </c>
      <c r="C970" s="206"/>
      <c r="D970" s="144">
        <v>0</v>
      </c>
      <c r="E970" s="149" t="s">
        <v>296</v>
      </c>
    </row>
    <row r="971" spans="1:6" x14ac:dyDescent="0.2">
      <c r="A971" s="105"/>
      <c r="B971" s="206" t="s">
        <v>269</v>
      </c>
      <c r="C971" s="206"/>
      <c r="D971" s="144">
        <v>0</v>
      </c>
      <c r="E971" s="149" t="s">
        <v>294</v>
      </c>
    </row>
    <row r="972" spans="1:6" x14ac:dyDescent="0.2">
      <c r="A972" s="105"/>
      <c r="B972" s="206" t="s">
        <v>270</v>
      </c>
      <c r="C972" s="206"/>
      <c r="D972" s="144">
        <v>0</v>
      </c>
      <c r="E972" s="145" t="s">
        <v>360</v>
      </c>
    </row>
    <row r="973" spans="1:6" x14ac:dyDescent="0.2">
      <c r="A973" s="105"/>
      <c r="B973" s="195" t="s">
        <v>268</v>
      </c>
      <c r="C973" s="196"/>
      <c r="D973" s="144">
        <v>0</v>
      </c>
      <c r="E973" s="149" t="s">
        <v>297</v>
      </c>
    </row>
    <row r="974" spans="1:6" x14ac:dyDescent="0.2">
      <c r="A974" s="105"/>
      <c r="B974" s="197" t="s">
        <v>365</v>
      </c>
      <c r="C974" s="198"/>
      <c r="D974" s="144">
        <v>0</v>
      </c>
      <c r="E974" s="145" t="s">
        <v>426</v>
      </c>
      <c r="F974" s="105"/>
    </row>
    <row r="975" spans="1:6" ht="13.5" thickBot="1" x14ac:dyDescent="0.25">
      <c r="A975" s="105"/>
      <c r="B975" s="195" t="s">
        <v>366</v>
      </c>
      <c r="C975" s="196"/>
      <c r="D975" s="144">
        <v>3</v>
      </c>
      <c r="E975" s="145" t="s">
        <v>427</v>
      </c>
      <c r="F975" s="105"/>
    </row>
    <row r="976" spans="1:6" ht="13.5" thickBot="1" x14ac:dyDescent="0.25">
      <c r="A976" s="105"/>
      <c r="B976" s="199" t="s">
        <v>383</v>
      </c>
      <c r="C976" s="200"/>
      <c r="D976" s="200"/>
      <c r="E976" s="201"/>
    </row>
    <row r="977" spans="1:5" x14ac:dyDescent="0.2">
      <c r="A977" s="105"/>
      <c r="B977" s="135" t="s">
        <v>18</v>
      </c>
      <c r="C977" s="105"/>
      <c r="D977" s="140"/>
      <c r="E977" s="134"/>
    </row>
    <row r="978" spans="1:5" x14ac:dyDescent="0.2">
      <c r="A978" s="105"/>
      <c r="B978" s="146"/>
      <c r="C978" s="193" t="s">
        <v>24</v>
      </c>
      <c r="D978" s="193"/>
      <c r="E978" s="193"/>
    </row>
    <row r="979" spans="1:5" x14ac:dyDescent="0.2">
      <c r="A979" s="105"/>
      <c r="B979" s="135" t="s">
        <v>19</v>
      </c>
      <c r="C979" s="150"/>
      <c r="D979" s="150"/>
      <c r="E979" s="147"/>
    </row>
    <row r="980" spans="1:5" x14ac:dyDescent="0.2">
      <c r="A980" s="105"/>
      <c r="B980" s="146"/>
      <c r="C980" s="193" t="s">
        <v>101</v>
      </c>
      <c r="D980" s="193"/>
      <c r="E980" s="193"/>
    </row>
    <row r="981" spans="1:5" x14ac:dyDescent="0.2">
      <c r="A981" s="105"/>
      <c r="B981" s="135" t="s">
        <v>20</v>
      </c>
      <c r="C981" s="105"/>
      <c r="D981" s="140"/>
      <c r="E981" s="134"/>
    </row>
    <row r="982" spans="1:5" x14ac:dyDescent="0.2">
      <c r="A982" s="105"/>
      <c r="B982" s="135"/>
      <c r="C982" s="194" t="s">
        <v>25</v>
      </c>
      <c r="D982" s="194"/>
      <c r="E982" s="194"/>
    </row>
    <row r="983" spans="1:5" ht="13.5" thickBot="1" x14ac:dyDescent="0.25">
      <c r="A983" s="105"/>
      <c r="B983" s="136"/>
      <c r="C983" s="137"/>
      <c r="D983" s="138"/>
      <c r="E983" s="139"/>
    </row>
    <row r="984" spans="1:5" ht="13.5" thickBot="1" x14ac:dyDescent="0.25">
      <c r="A984" s="105"/>
      <c r="B984" s="105"/>
      <c r="C984" s="105"/>
      <c r="D984" s="140"/>
      <c r="E984" s="105"/>
    </row>
    <row r="985" spans="1:5" x14ac:dyDescent="0.2">
      <c r="A985" s="105"/>
      <c r="B985" s="130" t="s">
        <v>274</v>
      </c>
      <c r="C985" s="131"/>
      <c r="D985" s="132"/>
      <c r="E985" s="133"/>
    </row>
    <row r="986" spans="1:5" x14ac:dyDescent="0.2">
      <c r="A986" s="105"/>
      <c r="B986" s="141"/>
      <c r="C986" s="105"/>
      <c r="D986" s="140"/>
      <c r="E986" s="134"/>
    </row>
    <row r="987" spans="1:5" x14ac:dyDescent="0.2">
      <c r="A987" s="105"/>
      <c r="B987" s="135" t="s">
        <v>16</v>
      </c>
      <c r="C987" s="210"/>
      <c r="D987" s="210"/>
      <c r="E987" s="211"/>
    </row>
    <row r="988" spans="1:5" x14ac:dyDescent="0.2">
      <c r="A988" s="105"/>
      <c r="B988" s="135"/>
      <c r="C988" s="193"/>
      <c r="D988" s="193"/>
      <c r="E988" s="193"/>
    </row>
    <row r="989" spans="1:5" ht="13.5" thickBot="1" x14ac:dyDescent="0.25">
      <c r="A989" s="105"/>
      <c r="B989" s="135" t="s">
        <v>17</v>
      </c>
      <c r="C989" s="105"/>
      <c r="D989" s="140"/>
      <c r="E989" s="134"/>
    </row>
    <row r="990" spans="1:5" ht="13.5" thickBot="1" x14ac:dyDescent="0.25">
      <c r="A990" s="105"/>
      <c r="B990" s="202" t="s">
        <v>98</v>
      </c>
      <c r="C990" s="203"/>
      <c r="D990" s="203"/>
      <c r="E990" s="204"/>
    </row>
    <row r="991" spans="1:5" ht="13.5" thickBot="1" x14ac:dyDescent="0.25">
      <c r="A991" s="105"/>
      <c r="B991" s="202" t="s">
        <v>264</v>
      </c>
      <c r="C991" s="204"/>
      <c r="D991" s="142" t="s">
        <v>11</v>
      </c>
      <c r="E991" s="142" t="s">
        <v>100</v>
      </c>
    </row>
    <row r="992" spans="1:5" x14ac:dyDescent="0.2">
      <c r="A992" s="105"/>
      <c r="B992" s="205" t="s">
        <v>265</v>
      </c>
      <c r="C992" s="205"/>
      <c r="D992" s="143">
        <v>0</v>
      </c>
      <c r="E992" s="148" t="s">
        <v>293</v>
      </c>
    </row>
    <row r="993" spans="1:6" x14ac:dyDescent="0.2">
      <c r="A993" s="105"/>
      <c r="B993" s="206" t="s">
        <v>266</v>
      </c>
      <c r="C993" s="206"/>
      <c r="D993" s="144">
        <v>0</v>
      </c>
      <c r="E993" s="149" t="s">
        <v>295</v>
      </c>
    </row>
    <row r="994" spans="1:6" x14ac:dyDescent="0.2">
      <c r="A994" s="105"/>
      <c r="B994" s="206" t="s">
        <v>267</v>
      </c>
      <c r="C994" s="206"/>
      <c r="D994" s="144">
        <v>0</v>
      </c>
      <c r="E994" s="149" t="s">
        <v>296</v>
      </c>
    </row>
    <row r="995" spans="1:6" x14ac:dyDescent="0.2">
      <c r="A995" s="105"/>
      <c r="B995" s="206" t="s">
        <v>269</v>
      </c>
      <c r="C995" s="206"/>
      <c r="D995" s="144">
        <v>0</v>
      </c>
      <c r="E995" s="149" t="s">
        <v>294</v>
      </c>
    </row>
    <row r="996" spans="1:6" x14ac:dyDescent="0.2">
      <c r="A996" s="105"/>
      <c r="B996" s="206" t="s">
        <v>270</v>
      </c>
      <c r="C996" s="206"/>
      <c r="D996" s="144">
        <v>0</v>
      </c>
      <c r="E996" s="145" t="s">
        <v>360</v>
      </c>
    </row>
    <row r="997" spans="1:6" x14ac:dyDescent="0.2">
      <c r="A997" s="105"/>
      <c r="B997" s="195" t="s">
        <v>268</v>
      </c>
      <c r="C997" s="196"/>
      <c r="D997" s="144">
        <v>0</v>
      </c>
      <c r="E997" s="149" t="s">
        <v>297</v>
      </c>
    </row>
    <row r="998" spans="1:6" x14ac:dyDescent="0.2">
      <c r="A998" s="105"/>
      <c r="B998" s="197" t="s">
        <v>365</v>
      </c>
      <c r="C998" s="198"/>
      <c r="D998" s="144">
        <v>0</v>
      </c>
      <c r="E998" s="145" t="s">
        <v>426</v>
      </c>
      <c r="F998" s="105"/>
    </row>
    <row r="999" spans="1:6" ht="13.5" thickBot="1" x14ac:dyDescent="0.25">
      <c r="A999" s="105"/>
      <c r="B999" s="195" t="s">
        <v>366</v>
      </c>
      <c r="C999" s="196"/>
      <c r="D999" s="144">
        <v>4</v>
      </c>
      <c r="E999" s="145" t="s">
        <v>427</v>
      </c>
      <c r="F999" s="105"/>
    </row>
    <row r="1000" spans="1:6" ht="27.75" customHeight="1" thickBot="1" x14ac:dyDescent="0.25">
      <c r="A1000" s="105"/>
      <c r="B1000" s="199" t="s">
        <v>386</v>
      </c>
      <c r="C1000" s="200"/>
      <c r="D1000" s="200"/>
      <c r="E1000" s="201"/>
    </row>
    <row r="1001" spans="1:6" x14ac:dyDescent="0.2">
      <c r="A1001" s="105"/>
      <c r="B1001" s="135" t="s">
        <v>18</v>
      </c>
      <c r="C1001" s="105"/>
      <c r="D1001" s="140"/>
      <c r="E1001" s="134"/>
    </row>
    <row r="1002" spans="1:6" x14ac:dyDescent="0.2">
      <c r="A1002" s="105"/>
      <c r="B1002" s="146"/>
      <c r="C1002" s="193" t="s">
        <v>24</v>
      </c>
      <c r="D1002" s="193"/>
      <c r="E1002" s="193"/>
    </row>
    <row r="1003" spans="1:6" x14ac:dyDescent="0.2">
      <c r="A1003" s="105"/>
      <c r="B1003" s="135" t="s">
        <v>19</v>
      </c>
      <c r="C1003" s="150"/>
      <c r="D1003" s="150"/>
      <c r="E1003" s="147"/>
    </row>
    <row r="1004" spans="1:6" x14ac:dyDescent="0.2">
      <c r="A1004" s="105"/>
      <c r="B1004" s="146"/>
      <c r="C1004" s="193" t="s">
        <v>101</v>
      </c>
      <c r="D1004" s="193"/>
      <c r="E1004" s="193"/>
    </row>
    <row r="1005" spans="1:6" x14ac:dyDescent="0.2">
      <c r="A1005" s="105"/>
      <c r="B1005" s="135" t="s">
        <v>20</v>
      </c>
      <c r="C1005" s="105"/>
      <c r="D1005" s="140"/>
      <c r="E1005" s="134"/>
    </row>
    <row r="1006" spans="1:6" x14ac:dyDescent="0.2">
      <c r="A1006" s="105"/>
      <c r="B1006" s="135"/>
      <c r="C1006" s="194" t="s">
        <v>25</v>
      </c>
      <c r="D1006" s="194"/>
      <c r="E1006" s="194"/>
    </row>
    <row r="1007" spans="1:6" ht="13.5" thickBot="1" x14ac:dyDescent="0.25">
      <c r="A1007" s="105"/>
      <c r="B1007" s="136"/>
      <c r="C1007" s="137"/>
      <c r="D1007" s="138"/>
      <c r="E1007" s="139"/>
    </row>
    <row r="1008" spans="1:6" ht="13.5" thickBot="1" x14ac:dyDescent="0.25">
      <c r="A1008" s="105"/>
      <c r="B1008" s="105"/>
      <c r="C1008" s="105"/>
      <c r="D1008" s="140"/>
      <c r="E1008" s="105"/>
    </row>
    <row r="1009" spans="1:6" x14ac:dyDescent="0.2">
      <c r="A1009" s="105"/>
      <c r="B1009" s="130" t="s">
        <v>275</v>
      </c>
      <c r="C1009" s="131"/>
      <c r="D1009" s="132"/>
      <c r="E1009" s="133"/>
    </row>
    <row r="1010" spans="1:6" x14ac:dyDescent="0.2">
      <c r="A1010" s="105"/>
      <c r="B1010" s="141"/>
      <c r="C1010" s="105"/>
      <c r="D1010" s="140"/>
      <c r="E1010" s="134"/>
    </row>
    <row r="1011" spans="1:6" x14ac:dyDescent="0.2">
      <c r="A1011" s="105"/>
      <c r="B1011" s="135" t="s">
        <v>16</v>
      </c>
      <c r="C1011" s="105"/>
      <c r="D1011" s="140"/>
      <c r="E1011" s="134"/>
    </row>
    <row r="1012" spans="1:6" x14ac:dyDescent="0.2">
      <c r="A1012" s="105"/>
      <c r="B1012" s="135"/>
      <c r="C1012" s="207" t="s">
        <v>454</v>
      </c>
      <c r="D1012" s="207"/>
      <c r="E1012" s="207"/>
    </row>
    <row r="1013" spans="1:6" ht="13.5" thickBot="1" x14ac:dyDescent="0.25">
      <c r="A1013" s="105"/>
      <c r="B1013" s="135" t="s">
        <v>17</v>
      </c>
      <c r="C1013" s="105"/>
      <c r="D1013" s="140"/>
      <c r="E1013" s="134"/>
    </row>
    <row r="1014" spans="1:6" ht="13.5" thickBot="1" x14ac:dyDescent="0.25">
      <c r="A1014" s="105"/>
      <c r="B1014" s="202" t="s">
        <v>98</v>
      </c>
      <c r="C1014" s="203"/>
      <c r="D1014" s="203"/>
      <c r="E1014" s="204"/>
    </row>
    <row r="1015" spans="1:6" ht="13.5" thickBot="1" x14ac:dyDescent="0.25">
      <c r="A1015" s="105"/>
      <c r="B1015" s="202" t="s">
        <v>264</v>
      </c>
      <c r="C1015" s="204"/>
      <c r="D1015" s="142" t="s">
        <v>11</v>
      </c>
      <c r="E1015" s="142" t="s">
        <v>100</v>
      </c>
    </row>
    <row r="1016" spans="1:6" x14ac:dyDescent="0.2">
      <c r="A1016" s="105"/>
      <c r="B1016" s="205" t="s">
        <v>265</v>
      </c>
      <c r="C1016" s="205"/>
      <c r="D1016" s="143">
        <v>0</v>
      </c>
      <c r="E1016" s="148" t="s">
        <v>293</v>
      </c>
    </row>
    <row r="1017" spans="1:6" x14ac:dyDescent="0.2">
      <c r="A1017" s="105"/>
      <c r="B1017" s="206" t="s">
        <v>266</v>
      </c>
      <c r="C1017" s="206"/>
      <c r="D1017" s="144">
        <v>0</v>
      </c>
      <c r="E1017" s="149" t="s">
        <v>295</v>
      </c>
    </row>
    <row r="1018" spans="1:6" x14ac:dyDescent="0.2">
      <c r="A1018" s="105"/>
      <c r="B1018" s="206" t="s">
        <v>267</v>
      </c>
      <c r="C1018" s="206"/>
      <c r="D1018" s="144">
        <v>0</v>
      </c>
      <c r="E1018" s="149" t="s">
        <v>296</v>
      </c>
    </row>
    <row r="1019" spans="1:6" x14ac:dyDescent="0.2">
      <c r="A1019" s="105"/>
      <c r="B1019" s="206" t="s">
        <v>269</v>
      </c>
      <c r="C1019" s="206"/>
      <c r="D1019" s="144">
        <v>0</v>
      </c>
      <c r="E1019" s="149" t="s">
        <v>294</v>
      </c>
    </row>
    <row r="1020" spans="1:6" x14ac:dyDescent="0.2">
      <c r="A1020" s="105"/>
      <c r="B1020" s="206" t="s">
        <v>270</v>
      </c>
      <c r="C1020" s="206"/>
      <c r="D1020" s="144">
        <v>0</v>
      </c>
      <c r="E1020" s="145" t="s">
        <v>360</v>
      </c>
    </row>
    <row r="1021" spans="1:6" x14ac:dyDescent="0.2">
      <c r="A1021" s="105"/>
      <c r="B1021" s="195" t="s">
        <v>268</v>
      </c>
      <c r="C1021" s="196"/>
      <c r="D1021" s="144">
        <v>0</v>
      </c>
      <c r="E1021" s="149" t="s">
        <v>297</v>
      </c>
    </row>
    <row r="1022" spans="1:6" x14ac:dyDescent="0.2">
      <c r="A1022" s="105"/>
      <c r="B1022" s="197" t="s">
        <v>365</v>
      </c>
      <c r="C1022" s="198"/>
      <c r="D1022" s="144">
        <v>0</v>
      </c>
      <c r="E1022" s="145" t="s">
        <v>426</v>
      </c>
      <c r="F1022" s="105"/>
    </row>
    <row r="1023" spans="1:6" ht="13.5" thickBot="1" x14ac:dyDescent="0.25">
      <c r="A1023" s="105"/>
      <c r="B1023" s="195" t="s">
        <v>366</v>
      </c>
      <c r="C1023" s="196"/>
      <c r="D1023" s="144">
        <v>3</v>
      </c>
      <c r="E1023" s="145" t="s">
        <v>427</v>
      </c>
      <c r="F1023" s="105"/>
    </row>
    <row r="1024" spans="1:6" ht="27.75" customHeight="1" thickBot="1" x14ac:dyDescent="0.25">
      <c r="A1024" s="105"/>
      <c r="B1024" s="199" t="s">
        <v>481</v>
      </c>
      <c r="C1024" s="200"/>
      <c r="D1024" s="200"/>
      <c r="E1024" s="201"/>
    </row>
    <row r="1025" spans="1:5" x14ac:dyDescent="0.2">
      <c r="A1025" s="105"/>
      <c r="B1025" s="135" t="s">
        <v>18</v>
      </c>
      <c r="C1025" s="105"/>
      <c r="D1025" s="140"/>
      <c r="E1025" s="134"/>
    </row>
    <row r="1026" spans="1:5" x14ac:dyDescent="0.2">
      <c r="A1026" s="105"/>
      <c r="B1026" s="146"/>
      <c r="C1026" s="193" t="s">
        <v>24</v>
      </c>
      <c r="D1026" s="193"/>
      <c r="E1026" s="193"/>
    </row>
    <row r="1027" spans="1:5" x14ac:dyDescent="0.2">
      <c r="A1027" s="105"/>
      <c r="B1027" s="135" t="s">
        <v>19</v>
      </c>
      <c r="C1027" s="150"/>
      <c r="D1027" s="150"/>
      <c r="E1027" s="147"/>
    </row>
    <row r="1028" spans="1:5" x14ac:dyDescent="0.2">
      <c r="A1028" s="105"/>
      <c r="B1028" s="146"/>
      <c r="C1028" s="193" t="s">
        <v>101</v>
      </c>
      <c r="D1028" s="193"/>
      <c r="E1028" s="193"/>
    </row>
    <row r="1029" spans="1:5" x14ac:dyDescent="0.2">
      <c r="A1029" s="105"/>
      <c r="B1029" s="135" t="s">
        <v>20</v>
      </c>
      <c r="C1029" s="105"/>
      <c r="D1029" s="140"/>
      <c r="E1029" s="134"/>
    </row>
    <row r="1030" spans="1:5" x14ac:dyDescent="0.2">
      <c r="A1030" s="105"/>
      <c r="B1030" s="135"/>
      <c r="C1030" s="194" t="s">
        <v>25</v>
      </c>
      <c r="D1030" s="194"/>
      <c r="E1030" s="194"/>
    </row>
    <row r="1031" spans="1:5" ht="13.5" thickBot="1" x14ac:dyDescent="0.25">
      <c r="A1031" s="105"/>
      <c r="B1031" s="136"/>
      <c r="C1031" s="137"/>
      <c r="D1031" s="138"/>
      <c r="E1031" s="139"/>
    </row>
    <row r="1032" spans="1:5" ht="13.5" thickBot="1" x14ac:dyDescent="0.25">
      <c r="A1032" s="105"/>
      <c r="B1032" s="105"/>
      <c r="C1032" s="105"/>
      <c r="D1032" s="140"/>
      <c r="E1032" s="105"/>
    </row>
    <row r="1033" spans="1:5" x14ac:dyDescent="0.2">
      <c r="A1033" s="105"/>
      <c r="B1033" s="130" t="s">
        <v>277</v>
      </c>
      <c r="C1033" s="131"/>
      <c r="D1033" s="132"/>
      <c r="E1033" s="133"/>
    </row>
    <row r="1034" spans="1:5" x14ac:dyDescent="0.2">
      <c r="A1034" s="105"/>
      <c r="B1034" s="141"/>
      <c r="C1034" s="105"/>
      <c r="D1034" s="140"/>
      <c r="E1034" s="134"/>
    </row>
    <row r="1035" spans="1:5" x14ac:dyDescent="0.2">
      <c r="A1035" s="105"/>
      <c r="B1035" s="135" t="s">
        <v>16</v>
      </c>
      <c r="C1035" s="105"/>
      <c r="D1035" s="140"/>
      <c r="E1035" s="134"/>
    </row>
    <row r="1036" spans="1:5" x14ac:dyDescent="0.2">
      <c r="A1036" s="105"/>
      <c r="B1036" s="135"/>
      <c r="C1036" s="207" t="s">
        <v>450</v>
      </c>
      <c r="D1036" s="207"/>
      <c r="E1036" s="207"/>
    </row>
    <row r="1037" spans="1:5" ht="13.5" thickBot="1" x14ac:dyDescent="0.25">
      <c r="A1037" s="105"/>
      <c r="B1037" s="135" t="s">
        <v>17</v>
      </c>
      <c r="C1037" s="105"/>
      <c r="D1037" s="140"/>
      <c r="E1037" s="134"/>
    </row>
    <row r="1038" spans="1:5" ht="13.5" thickBot="1" x14ac:dyDescent="0.25">
      <c r="A1038" s="105"/>
      <c r="B1038" s="202" t="s">
        <v>98</v>
      </c>
      <c r="C1038" s="203"/>
      <c r="D1038" s="203"/>
      <c r="E1038" s="204"/>
    </row>
    <row r="1039" spans="1:5" ht="13.5" thickBot="1" x14ac:dyDescent="0.25">
      <c r="A1039" s="105"/>
      <c r="B1039" s="202" t="s">
        <v>264</v>
      </c>
      <c r="C1039" s="204"/>
      <c r="D1039" s="142" t="s">
        <v>11</v>
      </c>
      <c r="E1039" s="142" t="s">
        <v>100</v>
      </c>
    </row>
    <row r="1040" spans="1:5" x14ac:dyDescent="0.2">
      <c r="A1040" s="105"/>
      <c r="B1040" s="205" t="s">
        <v>265</v>
      </c>
      <c r="C1040" s="205"/>
      <c r="D1040" s="143">
        <v>0</v>
      </c>
      <c r="E1040" s="148" t="s">
        <v>293</v>
      </c>
    </row>
    <row r="1041" spans="1:6" x14ac:dyDescent="0.2">
      <c r="A1041" s="105"/>
      <c r="B1041" s="206" t="s">
        <v>266</v>
      </c>
      <c r="C1041" s="206"/>
      <c r="D1041" s="144">
        <v>0</v>
      </c>
      <c r="E1041" s="149" t="s">
        <v>295</v>
      </c>
    </row>
    <row r="1042" spans="1:6" x14ac:dyDescent="0.2">
      <c r="A1042" s="105"/>
      <c r="B1042" s="206" t="s">
        <v>267</v>
      </c>
      <c r="C1042" s="206"/>
      <c r="D1042" s="144">
        <v>0</v>
      </c>
      <c r="E1042" s="149" t="s">
        <v>296</v>
      </c>
    </row>
    <row r="1043" spans="1:6" x14ac:dyDescent="0.2">
      <c r="A1043" s="105"/>
      <c r="B1043" s="206" t="s">
        <v>269</v>
      </c>
      <c r="C1043" s="206"/>
      <c r="D1043" s="144">
        <v>0</v>
      </c>
      <c r="E1043" s="149" t="s">
        <v>294</v>
      </c>
    </row>
    <row r="1044" spans="1:6" x14ac:dyDescent="0.2">
      <c r="A1044" s="105"/>
      <c r="B1044" s="206" t="s">
        <v>270</v>
      </c>
      <c r="C1044" s="206"/>
      <c r="D1044" s="144">
        <v>0</v>
      </c>
      <c r="E1044" s="145" t="s">
        <v>360</v>
      </c>
    </row>
    <row r="1045" spans="1:6" x14ac:dyDescent="0.2">
      <c r="A1045" s="105"/>
      <c r="B1045" s="195" t="s">
        <v>268</v>
      </c>
      <c r="C1045" s="196"/>
      <c r="D1045" s="144">
        <v>0</v>
      </c>
      <c r="E1045" s="149" t="s">
        <v>297</v>
      </c>
    </row>
    <row r="1046" spans="1:6" x14ac:dyDescent="0.2">
      <c r="A1046" s="105"/>
      <c r="B1046" s="197" t="s">
        <v>365</v>
      </c>
      <c r="C1046" s="198"/>
      <c r="D1046" s="144">
        <v>0</v>
      </c>
      <c r="E1046" s="145" t="s">
        <v>426</v>
      </c>
      <c r="F1046" s="105"/>
    </row>
    <row r="1047" spans="1:6" ht="13.5" thickBot="1" x14ac:dyDescent="0.25">
      <c r="A1047" s="105"/>
      <c r="B1047" s="195" t="s">
        <v>366</v>
      </c>
      <c r="C1047" s="196"/>
      <c r="D1047" s="144">
        <v>4</v>
      </c>
      <c r="E1047" s="145" t="s">
        <v>427</v>
      </c>
      <c r="F1047" s="105"/>
    </row>
    <row r="1048" spans="1:6" ht="25.5" customHeight="1" thickBot="1" x14ac:dyDescent="0.25">
      <c r="A1048" s="105"/>
      <c r="B1048" s="199" t="s">
        <v>482</v>
      </c>
      <c r="C1048" s="200"/>
      <c r="D1048" s="200"/>
      <c r="E1048" s="201"/>
    </row>
    <row r="1049" spans="1:6" x14ac:dyDescent="0.2">
      <c r="A1049" s="105"/>
      <c r="B1049" s="135" t="s">
        <v>18</v>
      </c>
      <c r="C1049" s="105"/>
      <c r="D1049" s="140"/>
      <c r="E1049" s="134"/>
    </row>
    <row r="1050" spans="1:6" x14ac:dyDescent="0.2">
      <c r="A1050" s="105"/>
      <c r="B1050" s="146"/>
      <c r="C1050" s="193" t="s">
        <v>24</v>
      </c>
      <c r="D1050" s="193"/>
      <c r="E1050" s="193"/>
    </row>
    <row r="1051" spans="1:6" x14ac:dyDescent="0.2">
      <c r="A1051" s="105"/>
      <c r="B1051" s="135" t="s">
        <v>19</v>
      </c>
      <c r="C1051" s="150"/>
      <c r="D1051" s="150"/>
      <c r="E1051" s="147"/>
    </row>
    <row r="1052" spans="1:6" x14ac:dyDescent="0.2">
      <c r="A1052" s="105"/>
      <c r="B1052" s="146"/>
      <c r="C1052" s="193" t="s">
        <v>101</v>
      </c>
      <c r="D1052" s="193"/>
      <c r="E1052" s="193"/>
    </row>
    <row r="1053" spans="1:6" x14ac:dyDescent="0.2">
      <c r="A1053" s="105"/>
      <c r="B1053" s="135" t="s">
        <v>20</v>
      </c>
      <c r="C1053" s="105"/>
      <c r="D1053" s="140"/>
      <c r="E1053" s="134"/>
    </row>
    <row r="1054" spans="1:6" x14ac:dyDescent="0.2">
      <c r="A1054" s="105"/>
      <c r="B1054" s="135"/>
      <c r="C1054" s="194" t="s">
        <v>25</v>
      </c>
      <c r="D1054" s="194"/>
      <c r="E1054" s="194"/>
    </row>
    <row r="1055" spans="1:6" ht="13.5" thickBot="1" x14ac:dyDescent="0.25">
      <c r="A1055" s="105"/>
      <c r="B1055" s="136"/>
      <c r="C1055" s="137"/>
      <c r="D1055" s="138"/>
      <c r="E1055" s="139"/>
    </row>
    <row r="1056" spans="1:6" ht="13.5" thickBot="1" x14ac:dyDescent="0.25">
      <c r="A1056" s="105"/>
      <c r="B1056" s="105"/>
      <c r="C1056" s="105"/>
      <c r="D1056" s="140"/>
      <c r="E1056" s="105"/>
    </row>
    <row r="1057" spans="1:6" x14ac:dyDescent="0.2">
      <c r="A1057" s="105"/>
      <c r="B1057" s="130" t="s">
        <v>278</v>
      </c>
      <c r="C1057" s="131"/>
      <c r="D1057" s="132"/>
      <c r="E1057" s="133"/>
    </row>
    <row r="1058" spans="1:6" x14ac:dyDescent="0.2">
      <c r="A1058" s="105"/>
      <c r="B1058" s="141"/>
      <c r="C1058" s="105"/>
      <c r="D1058" s="140"/>
      <c r="E1058" s="134"/>
    </row>
    <row r="1059" spans="1:6" x14ac:dyDescent="0.2">
      <c r="A1059" s="105"/>
      <c r="B1059" s="135" t="s">
        <v>16</v>
      </c>
      <c r="C1059" s="105"/>
      <c r="D1059" s="140"/>
      <c r="E1059" s="134"/>
    </row>
    <row r="1060" spans="1:6" x14ac:dyDescent="0.2">
      <c r="A1060" s="105"/>
      <c r="B1060" s="135"/>
      <c r="C1060" s="207" t="s">
        <v>451</v>
      </c>
      <c r="D1060" s="207"/>
      <c r="E1060" s="207"/>
    </row>
    <row r="1061" spans="1:6" ht="13.5" thickBot="1" x14ac:dyDescent="0.25">
      <c r="A1061" s="105"/>
      <c r="B1061" s="135" t="s">
        <v>17</v>
      </c>
      <c r="C1061" s="105"/>
      <c r="D1061" s="140"/>
      <c r="E1061" s="134"/>
    </row>
    <row r="1062" spans="1:6" ht="13.5" thickBot="1" x14ac:dyDescent="0.25">
      <c r="A1062" s="105"/>
      <c r="B1062" s="202" t="s">
        <v>98</v>
      </c>
      <c r="C1062" s="203"/>
      <c r="D1062" s="203"/>
      <c r="E1062" s="204"/>
    </row>
    <row r="1063" spans="1:6" ht="13.5" thickBot="1" x14ac:dyDescent="0.25">
      <c r="A1063" s="105"/>
      <c r="B1063" s="202" t="s">
        <v>264</v>
      </c>
      <c r="C1063" s="204"/>
      <c r="D1063" s="142" t="s">
        <v>11</v>
      </c>
      <c r="E1063" s="142" t="s">
        <v>100</v>
      </c>
    </row>
    <row r="1064" spans="1:6" x14ac:dyDescent="0.2">
      <c r="A1064" s="105"/>
      <c r="B1064" s="205" t="s">
        <v>265</v>
      </c>
      <c r="C1064" s="205"/>
      <c r="D1064" s="143">
        <v>0</v>
      </c>
      <c r="E1064" s="148" t="s">
        <v>293</v>
      </c>
    </row>
    <row r="1065" spans="1:6" x14ac:dyDescent="0.2">
      <c r="A1065" s="105"/>
      <c r="B1065" s="206" t="s">
        <v>266</v>
      </c>
      <c r="C1065" s="206"/>
      <c r="D1065" s="144">
        <v>0</v>
      </c>
      <c r="E1065" s="149" t="s">
        <v>295</v>
      </c>
    </row>
    <row r="1066" spans="1:6" x14ac:dyDescent="0.2">
      <c r="A1066" s="105"/>
      <c r="B1066" s="206" t="s">
        <v>267</v>
      </c>
      <c r="C1066" s="206"/>
      <c r="D1066" s="144">
        <v>0</v>
      </c>
      <c r="E1066" s="149" t="s">
        <v>296</v>
      </c>
    </row>
    <row r="1067" spans="1:6" x14ac:dyDescent="0.2">
      <c r="A1067" s="105"/>
      <c r="B1067" s="206" t="s">
        <v>269</v>
      </c>
      <c r="C1067" s="206"/>
      <c r="D1067" s="144">
        <v>0</v>
      </c>
      <c r="E1067" s="149" t="s">
        <v>294</v>
      </c>
    </row>
    <row r="1068" spans="1:6" x14ac:dyDescent="0.2">
      <c r="A1068" s="105"/>
      <c r="B1068" s="206" t="s">
        <v>270</v>
      </c>
      <c r="C1068" s="206"/>
      <c r="D1068" s="144">
        <v>0</v>
      </c>
      <c r="E1068" s="145" t="s">
        <v>360</v>
      </c>
    </row>
    <row r="1069" spans="1:6" x14ac:dyDescent="0.2">
      <c r="A1069" s="105"/>
      <c r="B1069" s="195" t="s">
        <v>268</v>
      </c>
      <c r="C1069" s="196"/>
      <c r="D1069" s="144">
        <v>0</v>
      </c>
      <c r="E1069" s="149" t="s">
        <v>297</v>
      </c>
    </row>
    <row r="1070" spans="1:6" x14ac:dyDescent="0.2">
      <c r="A1070" s="105"/>
      <c r="B1070" s="197" t="s">
        <v>365</v>
      </c>
      <c r="C1070" s="198"/>
      <c r="D1070" s="144">
        <v>0</v>
      </c>
      <c r="E1070" s="145" t="s">
        <v>426</v>
      </c>
      <c r="F1070" s="105"/>
    </row>
    <row r="1071" spans="1:6" ht="13.5" thickBot="1" x14ac:dyDescent="0.25">
      <c r="A1071" s="105"/>
      <c r="B1071" s="195" t="s">
        <v>366</v>
      </c>
      <c r="C1071" s="196"/>
      <c r="D1071" s="144">
        <v>6</v>
      </c>
      <c r="E1071" s="145" t="s">
        <v>427</v>
      </c>
      <c r="F1071" s="105"/>
    </row>
    <row r="1072" spans="1:6" ht="30" customHeight="1" thickBot="1" x14ac:dyDescent="0.25">
      <c r="A1072" s="105"/>
      <c r="B1072" s="199" t="s">
        <v>483</v>
      </c>
      <c r="C1072" s="200"/>
      <c r="D1072" s="200"/>
      <c r="E1072" s="201"/>
    </row>
    <row r="1073" spans="1:5" x14ac:dyDescent="0.2">
      <c r="A1073" s="105"/>
      <c r="B1073" s="135" t="s">
        <v>18</v>
      </c>
      <c r="C1073" s="105"/>
      <c r="D1073" s="140"/>
      <c r="E1073" s="134"/>
    </row>
    <row r="1074" spans="1:5" x14ac:dyDescent="0.2">
      <c r="A1074" s="105"/>
      <c r="B1074" s="146"/>
      <c r="C1074" s="193" t="s">
        <v>24</v>
      </c>
      <c r="D1074" s="193"/>
      <c r="E1074" s="193"/>
    </row>
    <row r="1075" spans="1:5" x14ac:dyDescent="0.2">
      <c r="A1075" s="105"/>
      <c r="B1075" s="135" t="s">
        <v>19</v>
      </c>
      <c r="C1075" s="150"/>
      <c r="D1075" s="150"/>
      <c r="E1075" s="147"/>
    </row>
    <row r="1076" spans="1:5" x14ac:dyDescent="0.2">
      <c r="A1076" s="105"/>
      <c r="B1076" s="146"/>
      <c r="C1076" s="193" t="s">
        <v>101</v>
      </c>
      <c r="D1076" s="193"/>
      <c r="E1076" s="193"/>
    </row>
    <row r="1077" spans="1:5" x14ac:dyDescent="0.2">
      <c r="A1077" s="105"/>
      <c r="B1077" s="135" t="s">
        <v>20</v>
      </c>
      <c r="C1077" s="105"/>
      <c r="D1077" s="140"/>
      <c r="E1077" s="134"/>
    </row>
    <row r="1078" spans="1:5" x14ac:dyDescent="0.2">
      <c r="A1078" s="105"/>
      <c r="B1078" s="135"/>
      <c r="C1078" s="194" t="s">
        <v>25</v>
      </c>
      <c r="D1078" s="194"/>
      <c r="E1078" s="194"/>
    </row>
    <row r="1079" spans="1:5" ht="13.5" thickBot="1" x14ac:dyDescent="0.25">
      <c r="A1079" s="105"/>
      <c r="B1079" s="136"/>
      <c r="C1079" s="137"/>
      <c r="D1079" s="138"/>
      <c r="E1079" s="139"/>
    </row>
    <row r="1080" spans="1:5" ht="13.5" thickBot="1" x14ac:dyDescent="0.25">
      <c r="A1080" s="105"/>
      <c r="B1080" s="105"/>
      <c r="C1080" s="105"/>
      <c r="D1080" s="140"/>
      <c r="E1080" s="105"/>
    </row>
    <row r="1081" spans="1:5" x14ac:dyDescent="0.2">
      <c r="A1081" s="105"/>
      <c r="B1081" s="130" t="s">
        <v>279</v>
      </c>
      <c r="C1081" s="131"/>
      <c r="D1081" s="132"/>
      <c r="E1081" s="133"/>
    </row>
    <row r="1082" spans="1:5" x14ac:dyDescent="0.2">
      <c r="A1082" s="105"/>
      <c r="B1082" s="141"/>
      <c r="C1082" s="105"/>
      <c r="D1082" s="140"/>
      <c r="E1082" s="134"/>
    </row>
    <row r="1083" spans="1:5" x14ac:dyDescent="0.2">
      <c r="A1083" s="105"/>
      <c r="B1083" s="135" t="s">
        <v>16</v>
      </c>
      <c r="C1083" s="210"/>
      <c r="D1083" s="210"/>
      <c r="E1083" s="211"/>
    </row>
    <row r="1084" spans="1:5" x14ac:dyDescent="0.2">
      <c r="A1084" s="105"/>
      <c r="B1084" s="135"/>
      <c r="C1084" s="193"/>
      <c r="D1084" s="193"/>
      <c r="E1084" s="193"/>
    </row>
    <row r="1085" spans="1:5" ht="13.5" thickBot="1" x14ac:dyDescent="0.25">
      <c r="A1085" s="105"/>
      <c r="B1085" s="135" t="s">
        <v>17</v>
      </c>
      <c r="C1085" s="105"/>
      <c r="D1085" s="140"/>
      <c r="E1085" s="134"/>
    </row>
    <row r="1086" spans="1:5" ht="13.5" thickBot="1" x14ac:dyDescent="0.25">
      <c r="A1086" s="105"/>
      <c r="B1086" s="202" t="s">
        <v>98</v>
      </c>
      <c r="C1086" s="203"/>
      <c r="D1086" s="203"/>
      <c r="E1086" s="204"/>
    </row>
    <row r="1087" spans="1:5" ht="13.5" thickBot="1" x14ac:dyDescent="0.25">
      <c r="A1087" s="105"/>
      <c r="B1087" s="202" t="s">
        <v>264</v>
      </c>
      <c r="C1087" s="204"/>
      <c r="D1087" s="142" t="s">
        <v>11</v>
      </c>
      <c r="E1087" s="142" t="s">
        <v>100</v>
      </c>
    </row>
    <row r="1088" spans="1:5" x14ac:dyDescent="0.2">
      <c r="A1088" s="105"/>
      <c r="B1088" s="205" t="s">
        <v>265</v>
      </c>
      <c r="C1088" s="205"/>
      <c r="D1088" s="143">
        <v>0</v>
      </c>
      <c r="E1088" s="148" t="s">
        <v>293</v>
      </c>
    </row>
    <row r="1089" spans="1:6" x14ac:dyDescent="0.2">
      <c r="A1089" s="105"/>
      <c r="B1089" s="206" t="s">
        <v>266</v>
      </c>
      <c r="C1089" s="206"/>
      <c r="D1089" s="144">
        <v>0</v>
      </c>
      <c r="E1089" s="149" t="s">
        <v>295</v>
      </c>
    </row>
    <row r="1090" spans="1:6" x14ac:dyDescent="0.2">
      <c r="A1090" s="105"/>
      <c r="B1090" s="206" t="s">
        <v>267</v>
      </c>
      <c r="C1090" s="206"/>
      <c r="D1090" s="144">
        <v>0</v>
      </c>
      <c r="E1090" s="149" t="s">
        <v>296</v>
      </c>
    </row>
    <row r="1091" spans="1:6" x14ac:dyDescent="0.2">
      <c r="A1091" s="105"/>
      <c r="B1091" s="206" t="s">
        <v>269</v>
      </c>
      <c r="C1091" s="206"/>
      <c r="D1091" s="144">
        <v>0</v>
      </c>
      <c r="E1091" s="149" t="s">
        <v>294</v>
      </c>
    </row>
    <row r="1092" spans="1:6" x14ac:dyDescent="0.2">
      <c r="A1092" s="105"/>
      <c r="B1092" s="206" t="s">
        <v>270</v>
      </c>
      <c r="C1092" s="206"/>
      <c r="D1092" s="144">
        <v>0</v>
      </c>
      <c r="E1092" s="145" t="s">
        <v>360</v>
      </c>
    </row>
    <row r="1093" spans="1:6" x14ac:dyDescent="0.2">
      <c r="A1093" s="105"/>
      <c r="B1093" s="195" t="s">
        <v>268</v>
      </c>
      <c r="C1093" s="196"/>
      <c r="D1093" s="144">
        <v>0</v>
      </c>
      <c r="E1093" s="149" t="s">
        <v>297</v>
      </c>
    </row>
    <row r="1094" spans="1:6" x14ac:dyDescent="0.2">
      <c r="A1094" s="105"/>
      <c r="B1094" s="197" t="s">
        <v>365</v>
      </c>
      <c r="C1094" s="198"/>
      <c r="D1094" s="144">
        <v>0</v>
      </c>
      <c r="E1094" s="145" t="s">
        <v>426</v>
      </c>
      <c r="F1094" s="105"/>
    </row>
    <row r="1095" spans="1:6" ht="13.5" thickBot="1" x14ac:dyDescent="0.25">
      <c r="A1095" s="105"/>
      <c r="B1095" s="195" t="s">
        <v>366</v>
      </c>
      <c r="C1095" s="196"/>
      <c r="D1095" s="144">
        <v>2</v>
      </c>
      <c r="E1095" s="145" t="s">
        <v>427</v>
      </c>
      <c r="F1095" s="105"/>
    </row>
    <row r="1096" spans="1:6" ht="13.5" thickBot="1" x14ac:dyDescent="0.25">
      <c r="A1096" s="105"/>
      <c r="B1096" s="199" t="s">
        <v>371</v>
      </c>
      <c r="C1096" s="200"/>
      <c r="D1096" s="200"/>
      <c r="E1096" s="201"/>
    </row>
    <row r="1097" spans="1:6" x14ac:dyDescent="0.2">
      <c r="A1097" s="105"/>
      <c r="B1097" s="135" t="s">
        <v>18</v>
      </c>
      <c r="C1097" s="105"/>
      <c r="D1097" s="140"/>
      <c r="E1097" s="134"/>
    </row>
    <row r="1098" spans="1:6" x14ac:dyDescent="0.2">
      <c r="A1098" s="105"/>
      <c r="B1098" s="146"/>
      <c r="C1098" s="193" t="s">
        <v>24</v>
      </c>
      <c r="D1098" s="193"/>
      <c r="E1098" s="193"/>
    </row>
    <row r="1099" spans="1:6" x14ac:dyDescent="0.2">
      <c r="A1099" s="105"/>
      <c r="B1099" s="135" t="s">
        <v>19</v>
      </c>
      <c r="C1099" s="150"/>
      <c r="D1099" s="150"/>
      <c r="E1099" s="147"/>
    </row>
    <row r="1100" spans="1:6" x14ac:dyDescent="0.2">
      <c r="A1100" s="105"/>
      <c r="B1100" s="146"/>
      <c r="C1100" s="193" t="s">
        <v>101</v>
      </c>
      <c r="D1100" s="193"/>
      <c r="E1100" s="193"/>
    </row>
    <row r="1101" spans="1:6" x14ac:dyDescent="0.2">
      <c r="A1101" s="105"/>
      <c r="B1101" s="135" t="s">
        <v>20</v>
      </c>
      <c r="C1101" s="105"/>
      <c r="D1101" s="140"/>
      <c r="E1101" s="134"/>
    </row>
    <row r="1102" spans="1:6" x14ac:dyDescent="0.2">
      <c r="A1102" s="105"/>
      <c r="B1102" s="135"/>
      <c r="C1102" s="194" t="s">
        <v>25</v>
      </c>
      <c r="D1102" s="194"/>
      <c r="E1102" s="194"/>
    </row>
    <row r="1103" spans="1:6" ht="13.5" thickBot="1" x14ac:dyDescent="0.25">
      <c r="A1103" s="105"/>
      <c r="B1103" s="136"/>
      <c r="C1103" s="137"/>
      <c r="D1103" s="138"/>
      <c r="E1103" s="139"/>
    </row>
    <row r="1104" spans="1:6" ht="13.5" thickBot="1" x14ac:dyDescent="0.25">
      <c r="A1104" s="105"/>
      <c r="B1104" s="105"/>
      <c r="C1104" s="105"/>
      <c r="D1104" s="140"/>
      <c r="E1104" s="105"/>
    </row>
    <row r="1105" spans="1:6" x14ac:dyDescent="0.2">
      <c r="A1105" s="105"/>
      <c r="B1105" s="130" t="s">
        <v>280</v>
      </c>
      <c r="C1105" s="131"/>
      <c r="D1105" s="132"/>
      <c r="E1105" s="133"/>
    </row>
    <row r="1106" spans="1:6" x14ac:dyDescent="0.2">
      <c r="A1106" s="105"/>
      <c r="B1106" s="141"/>
      <c r="C1106" s="105"/>
      <c r="D1106" s="140"/>
      <c r="E1106" s="134"/>
    </row>
    <row r="1107" spans="1:6" x14ac:dyDescent="0.2">
      <c r="A1107" s="105"/>
      <c r="B1107" s="135" t="s">
        <v>16</v>
      </c>
      <c r="C1107" s="210"/>
      <c r="D1107" s="210"/>
      <c r="E1107" s="211"/>
    </row>
    <row r="1108" spans="1:6" x14ac:dyDescent="0.2">
      <c r="A1108" s="105"/>
      <c r="B1108" s="135"/>
      <c r="C1108" s="193"/>
      <c r="D1108" s="193"/>
      <c r="E1108" s="193"/>
    </row>
    <row r="1109" spans="1:6" ht="13.5" thickBot="1" x14ac:dyDescent="0.25">
      <c r="A1109" s="105"/>
      <c r="B1109" s="135" t="s">
        <v>17</v>
      </c>
      <c r="C1109" s="105"/>
      <c r="D1109" s="140"/>
      <c r="E1109" s="134"/>
    </row>
    <row r="1110" spans="1:6" ht="13.5" thickBot="1" x14ac:dyDescent="0.25">
      <c r="A1110" s="105"/>
      <c r="B1110" s="202" t="s">
        <v>98</v>
      </c>
      <c r="C1110" s="203"/>
      <c r="D1110" s="203"/>
      <c r="E1110" s="204"/>
    </row>
    <row r="1111" spans="1:6" ht="13.5" thickBot="1" x14ac:dyDescent="0.25">
      <c r="A1111" s="105"/>
      <c r="B1111" s="202" t="s">
        <v>264</v>
      </c>
      <c r="C1111" s="204"/>
      <c r="D1111" s="142" t="s">
        <v>11</v>
      </c>
      <c r="E1111" s="142" t="s">
        <v>100</v>
      </c>
    </row>
    <row r="1112" spans="1:6" x14ac:dyDescent="0.2">
      <c r="A1112" s="105"/>
      <c r="B1112" s="205" t="s">
        <v>265</v>
      </c>
      <c r="C1112" s="205"/>
      <c r="D1112" s="143">
        <v>0</v>
      </c>
      <c r="E1112" s="148" t="s">
        <v>293</v>
      </c>
    </row>
    <row r="1113" spans="1:6" x14ac:dyDescent="0.2">
      <c r="A1113" s="105"/>
      <c r="B1113" s="206" t="s">
        <v>266</v>
      </c>
      <c r="C1113" s="206"/>
      <c r="D1113" s="144">
        <v>0</v>
      </c>
      <c r="E1113" s="149" t="s">
        <v>295</v>
      </c>
    </row>
    <row r="1114" spans="1:6" x14ac:dyDescent="0.2">
      <c r="A1114" s="105"/>
      <c r="B1114" s="206" t="s">
        <v>267</v>
      </c>
      <c r="C1114" s="206"/>
      <c r="D1114" s="144">
        <v>0</v>
      </c>
      <c r="E1114" s="149" t="s">
        <v>296</v>
      </c>
    </row>
    <row r="1115" spans="1:6" x14ac:dyDescent="0.2">
      <c r="A1115" s="105"/>
      <c r="B1115" s="206" t="s">
        <v>269</v>
      </c>
      <c r="C1115" s="206"/>
      <c r="D1115" s="144">
        <v>0</v>
      </c>
      <c r="E1115" s="149" t="s">
        <v>294</v>
      </c>
    </row>
    <row r="1116" spans="1:6" x14ac:dyDescent="0.2">
      <c r="A1116" s="105"/>
      <c r="B1116" s="206" t="s">
        <v>270</v>
      </c>
      <c r="C1116" s="206"/>
      <c r="D1116" s="144">
        <v>0</v>
      </c>
      <c r="E1116" s="145" t="s">
        <v>360</v>
      </c>
    </row>
    <row r="1117" spans="1:6" x14ac:dyDescent="0.2">
      <c r="A1117" s="105"/>
      <c r="B1117" s="195" t="s">
        <v>268</v>
      </c>
      <c r="C1117" s="196"/>
      <c r="D1117" s="144">
        <v>0</v>
      </c>
      <c r="E1117" s="149" t="s">
        <v>297</v>
      </c>
    </row>
    <row r="1118" spans="1:6" x14ac:dyDescent="0.2">
      <c r="A1118" s="105"/>
      <c r="B1118" s="197" t="s">
        <v>365</v>
      </c>
      <c r="C1118" s="198"/>
      <c r="D1118" s="144">
        <v>0</v>
      </c>
      <c r="E1118" s="145" t="s">
        <v>426</v>
      </c>
      <c r="F1118" s="105"/>
    </row>
    <row r="1119" spans="1:6" ht="13.5" thickBot="1" x14ac:dyDescent="0.25">
      <c r="A1119" s="105"/>
      <c r="B1119" s="195" t="s">
        <v>366</v>
      </c>
      <c r="C1119" s="196"/>
      <c r="D1119" s="144">
        <v>3</v>
      </c>
      <c r="E1119" s="145" t="s">
        <v>427</v>
      </c>
      <c r="F1119" s="105"/>
    </row>
    <row r="1120" spans="1:6" ht="13.5" thickBot="1" x14ac:dyDescent="0.25">
      <c r="A1120" s="105"/>
      <c r="B1120" s="199" t="s">
        <v>383</v>
      </c>
      <c r="C1120" s="200"/>
      <c r="D1120" s="200"/>
      <c r="E1120" s="201"/>
    </row>
    <row r="1121" spans="1:5" x14ac:dyDescent="0.2">
      <c r="A1121" s="105"/>
      <c r="B1121" s="135" t="s">
        <v>18</v>
      </c>
      <c r="C1121" s="105"/>
      <c r="D1121" s="140"/>
      <c r="E1121" s="134"/>
    </row>
    <row r="1122" spans="1:5" x14ac:dyDescent="0.2">
      <c r="A1122" s="105"/>
      <c r="B1122" s="146"/>
      <c r="C1122" s="193" t="s">
        <v>24</v>
      </c>
      <c r="D1122" s="193"/>
      <c r="E1122" s="193"/>
    </row>
    <row r="1123" spans="1:5" x14ac:dyDescent="0.2">
      <c r="A1123" s="105"/>
      <c r="B1123" s="135" t="s">
        <v>19</v>
      </c>
      <c r="C1123" s="150"/>
      <c r="D1123" s="150"/>
      <c r="E1123" s="147"/>
    </row>
    <row r="1124" spans="1:5" x14ac:dyDescent="0.2">
      <c r="A1124" s="105"/>
      <c r="B1124" s="146"/>
      <c r="C1124" s="193" t="s">
        <v>101</v>
      </c>
      <c r="D1124" s="193"/>
      <c r="E1124" s="193"/>
    </row>
    <row r="1125" spans="1:5" x14ac:dyDescent="0.2">
      <c r="A1125" s="105"/>
      <c r="B1125" s="135" t="s">
        <v>20</v>
      </c>
      <c r="C1125" s="105"/>
      <c r="D1125" s="140"/>
      <c r="E1125" s="134"/>
    </row>
    <row r="1126" spans="1:5" x14ac:dyDescent="0.2">
      <c r="A1126" s="105"/>
      <c r="B1126" s="135"/>
      <c r="C1126" s="194" t="s">
        <v>25</v>
      </c>
      <c r="D1126" s="194"/>
      <c r="E1126" s="194"/>
    </row>
    <row r="1127" spans="1:5" ht="13.5" thickBot="1" x14ac:dyDescent="0.25">
      <c r="A1127" s="105"/>
      <c r="B1127" s="136"/>
      <c r="C1127" s="137"/>
      <c r="D1127" s="138"/>
      <c r="E1127" s="139"/>
    </row>
    <row r="1128" spans="1:5" ht="13.5" thickBot="1" x14ac:dyDescent="0.25">
      <c r="A1128" s="105"/>
      <c r="B1128" s="105"/>
      <c r="C1128" s="105"/>
      <c r="D1128" s="140"/>
      <c r="E1128" s="105"/>
    </row>
    <row r="1129" spans="1:5" x14ac:dyDescent="0.2">
      <c r="A1129" s="105"/>
      <c r="B1129" s="130" t="s">
        <v>281</v>
      </c>
      <c r="C1129" s="131"/>
      <c r="D1129" s="132"/>
      <c r="E1129" s="133"/>
    </row>
    <row r="1130" spans="1:5" x14ac:dyDescent="0.2">
      <c r="A1130" s="105"/>
      <c r="B1130" s="141"/>
      <c r="C1130" s="105"/>
      <c r="D1130" s="140"/>
      <c r="E1130" s="134"/>
    </row>
    <row r="1131" spans="1:5" x14ac:dyDescent="0.2">
      <c r="A1131" s="105"/>
      <c r="B1131" s="135" t="s">
        <v>16</v>
      </c>
      <c r="C1131" s="210"/>
      <c r="D1131" s="210"/>
      <c r="E1131" s="211"/>
    </row>
    <row r="1132" spans="1:5" x14ac:dyDescent="0.2">
      <c r="A1132" s="105"/>
      <c r="B1132" s="135"/>
      <c r="C1132" s="193"/>
      <c r="D1132" s="193"/>
      <c r="E1132" s="193"/>
    </row>
    <row r="1133" spans="1:5" ht="13.5" thickBot="1" x14ac:dyDescent="0.25">
      <c r="A1133" s="105"/>
      <c r="B1133" s="135" t="s">
        <v>17</v>
      </c>
      <c r="C1133" s="105"/>
      <c r="D1133" s="140"/>
      <c r="E1133" s="134"/>
    </row>
    <row r="1134" spans="1:5" ht="13.5" thickBot="1" x14ac:dyDescent="0.25">
      <c r="A1134" s="105"/>
      <c r="B1134" s="202" t="s">
        <v>98</v>
      </c>
      <c r="C1134" s="203"/>
      <c r="D1134" s="203"/>
      <c r="E1134" s="204"/>
    </row>
    <row r="1135" spans="1:5" ht="13.5" thickBot="1" x14ac:dyDescent="0.25">
      <c r="A1135" s="105"/>
      <c r="B1135" s="202" t="s">
        <v>264</v>
      </c>
      <c r="C1135" s="204"/>
      <c r="D1135" s="142" t="s">
        <v>11</v>
      </c>
      <c r="E1135" s="142" t="s">
        <v>100</v>
      </c>
    </row>
    <row r="1136" spans="1:5" x14ac:dyDescent="0.2">
      <c r="A1136" s="105"/>
      <c r="B1136" s="205" t="s">
        <v>265</v>
      </c>
      <c r="C1136" s="205"/>
      <c r="D1136" s="143">
        <v>0</v>
      </c>
      <c r="E1136" s="148" t="s">
        <v>293</v>
      </c>
    </row>
    <row r="1137" spans="1:6" x14ac:dyDescent="0.2">
      <c r="A1137" s="105"/>
      <c r="B1137" s="206" t="s">
        <v>266</v>
      </c>
      <c r="C1137" s="206"/>
      <c r="D1137" s="144">
        <v>0</v>
      </c>
      <c r="E1137" s="149" t="s">
        <v>295</v>
      </c>
    </row>
    <row r="1138" spans="1:6" x14ac:dyDescent="0.2">
      <c r="A1138" s="105"/>
      <c r="B1138" s="206" t="s">
        <v>267</v>
      </c>
      <c r="C1138" s="206"/>
      <c r="D1138" s="144">
        <v>0</v>
      </c>
      <c r="E1138" s="149" t="s">
        <v>296</v>
      </c>
    </row>
    <row r="1139" spans="1:6" x14ac:dyDescent="0.2">
      <c r="A1139" s="105"/>
      <c r="B1139" s="206" t="s">
        <v>269</v>
      </c>
      <c r="C1139" s="206"/>
      <c r="D1139" s="144">
        <v>0</v>
      </c>
      <c r="E1139" s="149" t="s">
        <v>294</v>
      </c>
    </row>
    <row r="1140" spans="1:6" x14ac:dyDescent="0.2">
      <c r="A1140" s="105"/>
      <c r="B1140" s="206" t="s">
        <v>270</v>
      </c>
      <c r="C1140" s="206"/>
      <c r="D1140" s="144">
        <v>0</v>
      </c>
      <c r="E1140" s="145" t="s">
        <v>360</v>
      </c>
    </row>
    <row r="1141" spans="1:6" x14ac:dyDescent="0.2">
      <c r="A1141" s="105"/>
      <c r="B1141" s="195" t="s">
        <v>268</v>
      </c>
      <c r="C1141" s="196"/>
      <c r="D1141" s="144">
        <v>0</v>
      </c>
      <c r="E1141" s="149" t="s">
        <v>297</v>
      </c>
    </row>
    <row r="1142" spans="1:6" x14ac:dyDescent="0.2">
      <c r="A1142" s="105"/>
      <c r="B1142" s="197" t="s">
        <v>365</v>
      </c>
      <c r="C1142" s="198"/>
      <c r="D1142" s="144">
        <v>0</v>
      </c>
      <c r="E1142" s="145" t="s">
        <v>426</v>
      </c>
      <c r="F1142" s="105"/>
    </row>
    <row r="1143" spans="1:6" ht="13.5" thickBot="1" x14ac:dyDescent="0.25">
      <c r="A1143" s="105"/>
      <c r="B1143" s="195" t="s">
        <v>366</v>
      </c>
      <c r="C1143" s="196"/>
      <c r="D1143" s="144">
        <v>5</v>
      </c>
      <c r="E1143" s="145" t="s">
        <v>427</v>
      </c>
      <c r="F1143" s="105"/>
    </row>
    <row r="1144" spans="1:6" ht="29.25" customHeight="1" thickBot="1" x14ac:dyDescent="0.25">
      <c r="A1144" s="105"/>
      <c r="B1144" s="199" t="s">
        <v>437</v>
      </c>
      <c r="C1144" s="200"/>
      <c r="D1144" s="200"/>
      <c r="E1144" s="201"/>
    </row>
    <row r="1145" spans="1:6" x14ac:dyDescent="0.2">
      <c r="A1145" s="105"/>
      <c r="B1145" s="135" t="s">
        <v>18</v>
      </c>
      <c r="C1145" s="105"/>
      <c r="D1145" s="140"/>
      <c r="E1145" s="134"/>
    </row>
    <row r="1146" spans="1:6" x14ac:dyDescent="0.2">
      <c r="A1146" s="105"/>
      <c r="B1146" s="146"/>
      <c r="C1146" s="193" t="s">
        <v>24</v>
      </c>
      <c r="D1146" s="193"/>
      <c r="E1146" s="193"/>
    </row>
    <row r="1147" spans="1:6" x14ac:dyDescent="0.2">
      <c r="A1147" s="105"/>
      <c r="B1147" s="135" t="s">
        <v>19</v>
      </c>
      <c r="C1147" s="150"/>
      <c r="D1147" s="150"/>
      <c r="E1147" s="147"/>
    </row>
    <row r="1148" spans="1:6" x14ac:dyDescent="0.2">
      <c r="A1148" s="105"/>
      <c r="B1148" s="146"/>
      <c r="C1148" s="193" t="s">
        <v>101</v>
      </c>
      <c r="D1148" s="193"/>
      <c r="E1148" s="193"/>
    </row>
    <row r="1149" spans="1:6" x14ac:dyDescent="0.2">
      <c r="A1149" s="105"/>
      <c r="B1149" s="135" t="s">
        <v>20</v>
      </c>
      <c r="C1149" s="105"/>
      <c r="D1149" s="140"/>
      <c r="E1149" s="134"/>
    </row>
    <row r="1150" spans="1:6" x14ac:dyDescent="0.2">
      <c r="A1150" s="105"/>
      <c r="B1150" s="135"/>
      <c r="C1150" s="194" t="s">
        <v>25</v>
      </c>
      <c r="D1150" s="194"/>
      <c r="E1150" s="194"/>
    </row>
    <row r="1151" spans="1:6" ht="13.5" thickBot="1" x14ac:dyDescent="0.25">
      <c r="A1151" s="105"/>
      <c r="B1151" s="136"/>
      <c r="C1151" s="137"/>
      <c r="D1151" s="138"/>
      <c r="E1151" s="139"/>
    </row>
    <row r="1152" spans="1:6" ht="13.5" thickBot="1" x14ac:dyDescent="0.25">
      <c r="A1152" s="105"/>
      <c r="B1152" s="105"/>
      <c r="C1152" s="105"/>
      <c r="D1152" s="140"/>
      <c r="E1152" s="105"/>
    </row>
    <row r="1153" spans="1:6" x14ac:dyDescent="0.2">
      <c r="A1153" s="105"/>
      <c r="B1153" s="130" t="s">
        <v>282</v>
      </c>
      <c r="C1153" s="131"/>
      <c r="D1153" s="132"/>
      <c r="E1153" s="133"/>
    </row>
    <row r="1154" spans="1:6" x14ac:dyDescent="0.2">
      <c r="A1154" s="105"/>
      <c r="B1154" s="141"/>
      <c r="C1154" s="105"/>
      <c r="D1154" s="140"/>
      <c r="E1154" s="134"/>
    </row>
    <row r="1155" spans="1:6" x14ac:dyDescent="0.2">
      <c r="A1155" s="105"/>
      <c r="B1155" s="135" t="s">
        <v>16</v>
      </c>
      <c r="C1155" s="105"/>
      <c r="D1155" s="140"/>
      <c r="E1155" s="134"/>
    </row>
    <row r="1156" spans="1:6" x14ac:dyDescent="0.2">
      <c r="A1156" s="105"/>
      <c r="B1156" s="135"/>
      <c r="C1156" s="207" t="s">
        <v>455</v>
      </c>
      <c r="D1156" s="207"/>
      <c r="E1156" s="207"/>
    </row>
    <row r="1157" spans="1:6" ht="13.5" thickBot="1" x14ac:dyDescent="0.25">
      <c r="A1157" s="105"/>
      <c r="B1157" s="135" t="s">
        <v>17</v>
      </c>
      <c r="C1157" s="105"/>
      <c r="D1157" s="140"/>
      <c r="E1157" s="134"/>
    </row>
    <row r="1158" spans="1:6" ht="13.5" thickBot="1" x14ac:dyDescent="0.25">
      <c r="A1158" s="105"/>
      <c r="B1158" s="202" t="s">
        <v>98</v>
      </c>
      <c r="C1158" s="203"/>
      <c r="D1158" s="203"/>
      <c r="E1158" s="204"/>
    </row>
    <row r="1159" spans="1:6" ht="13.5" thickBot="1" x14ac:dyDescent="0.25">
      <c r="A1159" s="105"/>
      <c r="B1159" s="202" t="s">
        <v>264</v>
      </c>
      <c r="C1159" s="204"/>
      <c r="D1159" s="142" t="s">
        <v>11</v>
      </c>
      <c r="E1159" s="142" t="s">
        <v>100</v>
      </c>
    </row>
    <row r="1160" spans="1:6" x14ac:dyDescent="0.2">
      <c r="A1160" s="105"/>
      <c r="B1160" s="205" t="s">
        <v>265</v>
      </c>
      <c r="C1160" s="205"/>
      <c r="D1160" s="143">
        <v>0</v>
      </c>
      <c r="E1160" s="148" t="s">
        <v>293</v>
      </c>
    </row>
    <row r="1161" spans="1:6" x14ac:dyDescent="0.2">
      <c r="A1161" s="105"/>
      <c r="B1161" s="206" t="s">
        <v>266</v>
      </c>
      <c r="C1161" s="206"/>
      <c r="D1161" s="144">
        <v>0</v>
      </c>
      <c r="E1161" s="149" t="s">
        <v>295</v>
      </c>
    </row>
    <row r="1162" spans="1:6" x14ac:dyDescent="0.2">
      <c r="A1162" s="105"/>
      <c r="B1162" s="206" t="s">
        <v>267</v>
      </c>
      <c r="C1162" s="206"/>
      <c r="D1162" s="144">
        <v>0</v>
      </c>
      <c r="E1162" s="149" t="s">
        <v>296</v>
      </c>
    </row>
    <row r="1163" spans="1:6" x14ac:dyDescent="0.2">
      <c r="A1163" s="105"/>
      <c r="B1163" s="206" t="s">
        <v>269</v>
      </c>
      <c r="C1163" s="206"/>
      <c r="D1163" s="144">
        <v>0</v>
      </c>
      <c r="E1163" s="149" t="s">
        <v>294</v>
      </c>
    </row>
    <row r="1164" spans="1:6" x14ac:dyDescent="0.2">
      <c r="A1164" s="105"/>
      <c r="B1164" s="206" t="s">
        <v>270</v>
      </c>
      <c r="C1164" s="206"/>
      <c r="D1164" s="144">
        <v>0</v>
      </c>
      <c r="E1164" s="145" t="s">
        <v>360</v>
      </c>
    </row>
    <row r="1165" spans="1:6" x14ac:dyDescent="0.2">
      <c r="A1165" s="105"/>
      <c r="B1165" s="195" t="s">
        <v>268</v>
      </c>
      <c r="C1165" s="196"/>
      <c r="D1165" s="144">
        <v>0</v>
      </c>
      <c r="E1165" s="149" t="s">
        <v>297</v>
      </c>
    </row>
    <row r="1166" spans="1:6" x14ac:dyDescent="0.2">
      <c r="A1166" s="105"/>
      <c r="B1166" s="197" t="s">
        <v>365</v>
      </c>
      <c r="C1166" s="198"/>
      <c r="D1166" s="144">
        <v>0</v>
      </c>
      <c r="E1166" s="145" t="s">
        <v>426</v>
      </c>
      <c r="F1166" s="105"/>
    </row>
    <row r="1167" spans="1:6" ht="13.5" thickBot="1" x14ac:dyDescent="0.25">
      <c r="A1167" s="105"/>
      <c r="B1167" s="195" t="s">
        <v>366</v>
      </c>
      <c r="C1167" s="196"/>
      <c r="D1167" s="144">
        <v>12</v>
      </c>
      <c r="E1167" s="145" t="s">
        <v>427</v>
      </c>
      <c r="F1167" s="105"/>
    </row>
    <row r="1168" spans="1:6" ht="29.25" customHeight="1" thickBot="1" x14ac:dyDescent="0.25">
      <c r="A1168" s="105"/>
      <c r="B1168" s="199" t="s">
        <v>397</v>
      </c>
      <c r="C1168" s="200"/>
      <c r="D1168" s="200"/>
      <c r="E1168" s="201"/>
    </row>
    <row r="1169" spans="1:5" x14ac:dyDescent="0.2">
      <c r="A1169" s="105"/>
      <c r="B1169" s="135" t="s">
        <v>18</v>
      </c>
      <c r="C1169" s="105"/>
      <c r="D1169" s="140"/>
      <c r="E1169" s="134"/>
    </row>
    <row r="1170" spans="1:5" x14ac:dyDescent="0.2">
      <c r="A1170" s="105"/>
      <c r="B1170" s="146"/>
      <c r="C1170" s="193" t="s">
        <v>24</v>
      </c>
      <c r="D1170" s="193"/>
      <c r="E1170" s="193"/>
    </row>
    <row r="1171" spans="1:5" x14ac:dyDescent="0.2">
      <c r="A1171" s="105"/>
      <c r="B1171" s="135" t="s">
        <v>19</v>
      </c>
      <c r="C1171" s="150"/>
      <c r="D1171" s="150"/>
      <c r="E1171" s="147"/>
    </row>
    <row r="1172" spans="1:5" x14ac:dyDescent="0.2">
      <c r="A1172" s="105"/>
      <c r="B1172" s="146"/>
      <c r="C1172" s="193" t="s">
        <v>101</v>
      </c>
      <c r="D1172" s="193"/>
      <c r="E1172" s="193"/>
    </row>
    <row r="1173" spans="1:5" x14ac:dyDescent="0.2">
      <c r="A1173" s="105"/>
      <c r="B1173" s="135" t="s">
        <v>20</v>
      </c>
      <c r="C1173" s="105"/>
      <c r="D1173" s="140"/>
      <c r="E1173" s="134"/>
    </row>
    <row r="1174" spans="1:5" x14ac:dyDescent="0.2">
      <c r="A1174" s="105"/>
      <c r="B1174" s="135"/>
      <c r="C1174" s="194" t="s">
        <v>25</v>
      </c>
      <c r="D1174" s="194"/>
      <c r="E1174" s="194"/>
    </row>
    <row r="1175" spans="1:5" ht="13.5" thickBot="1" x14ac:dyDescent="0.25">
      <c r="A1175" s="105"/>
      <c r="B1175" s="136"/>
      <c r="C1175" s="137"/>
      <c r="D1175" s="138"/>
      <c r="E1175" s="139"/>
    </row>
    <row r="1176" spans="1:5" ht="13.5" thickBot="1" x14ac:dyDescent="0.25">
      <c r="A1176" s="105"/>
      <c r="B1176" s="105"/>
      <c r="C1176" s="105"/>
      <c r="D1176" s="140"/>
      <c r="E1176" s="105"/>
    </row>
    <row r="1177" spans="1:5" x14ac:dyDescent="0.2">
      <c r="A1177" s="105"/>
      <c r="B1177" s="130" t="s">
        <v>283</v>
      </c>
      <c r="C1177" s="131"/>
      <c r="D1177" s="132"/>
      <c r="E1177" s="133"/>
    </row>
    <row r="1178" spans="1:5" x14ac:dyDescent="0.2">
      <c r="A1178" s="105"/>
      <c r="B1178" s="141"/>
      <c r="C1178" s="105"/>
      <c r="D1178" s="140"/>
      <c r="E1178" s="134"/>
    </row>
    <row r="1179" spans="1:5" x14ac:dyDescent="0.2">
      <c r="A1179" s="105"/>
      <c r="B1179" s="135" t="s">
        <v>16</v>
      </c>
      <c r="C1179" s="210"/>
      <c r="D1179" s="210"/>
      <c r="E1179" s="211"/>
    </row>
    <row r="1180" spans="1:5" x14ac:dyDescent="0.2">
      <c r="A1180" s="105"/>
      <c r="B1180" s="135"/>
      <c r="C1180" s="193"/>
      <c r="D1180" s="193"/>
      <c r="E1180" s="193"/>
    </row>
    <row r="1181" spans="1:5" ht="13.5" thickBot="1" x14ac:dyDescent="0.25">
      <c r="A1181" s="105"/>
      <c r="B1181" s="135" t="s">
        <v>17</v>
      </c>
      <c r="C1181" s="105"/>
      <c r="D1181" s="140"/>
      <c r="E1181" s="134"/>
    </row>
    <row r="1182" spans="1:5" ht="13.5" thickBot="1" x14ac:dyDescent="0.25">
      <c r="A1182" s="105"/>
      <c r="B1182" s="202" t="s">
        <v>98</v>
      </c>
      <c r="C1182" s="203"/>
      <c r="D1182" s="203"/>
      <c r="E1182" s="204"/>
    </row>
    <row r="1183" spans="1:5" ht="13.5" thickBot="1" x14ac:dyDescent="0.25">
      <c r="A1183" s="105"/>
      <c r="B1183" s="202" t="s">
        <v>264</v>
      </c>
      <c r="C1183" s="204"/>
      <c r="D1183" s="142" t="s">
        <v>11</v>
      </c>
      <c r="E1183" s="142" t="s">
        <v>100</v>
      </c>
    </row>
    <row r="1184" spans="1:5" x14ac:dyDescent="0.2">
      <c r="A1184" s="105"/>
      <c r="B1184" s="205" t="s">
        <v>265</v>
      </c>
      <c r="C1184" s="205"/>
      <c r="D1184" s="143">
        <v>0</v>
      </c>
      <c r="E1184" s="148" t="s">
        <v>293</v>
      </c>
    </row>
    <row r="1185" spans="1:6" x14ac:dyDescent="0.2">
      <c r="A1185" s="105"/>
      <c r="B1185" s="206" t="s">
        <v>266</v>
      </c>
      <c r="C1185" s="206"/>
      <c r="D1185" s="144">
        <v>0</v>
      </c>
      <c r="E1185" s="149" t="s">
        <v>295</v>
      </c>
    </row>
    <row r="1186" spans="1:6" x14ac:dyDescent="0.2">
      <c r="A1186" s="105"/>
      <c r="B1186" s="206" t="s">
        <v>267</v>
      </c>
      <c r="C1186" s="206"/>
      <c r="D1186" s="144">
        <v>0</v>
      </c>
      <c r="E1186" s="149" t="s">
        <v>296</v>
      </c>
    </row>
    <row r="1187" spans="1:6" x14ac:dyDescent="0.2">
      <c r="A1187" s="105"/>
      <c r="B1187" s="206" t="s">
        <v>269</v>
      </c>
      <c r="C1187" s="206"/>
      <c r="D1187" s="144">
        <v>0</v>
      </c>
      <c r="E1187" s="149" t="s">
        <v>294</v>
      </c>
    </row>
    <row r="1188" spans="1:6" x14ac:dyDescent="0.2">
      <c r="A1188" s="105"/>
      <c r="B1188" s="206" t="s">
        <v>270</v>
      </c>
      <c r="C1188" s="206"/>
      <c r="D1188" s="144">
        <v>0</v>
      </c>
      <c r="E1188" s="145" t="s">
        <v>360</v>
      </c>
    </row>
    <row r="1189" spans="1:6" x14ac:dyDescent="0.2">
      <c r="A1189" s="105"/>
      <c r="B1189" s="195" t="s">
        <v>268</v>
      </c>
      <c r="C1189" s="196"/>
      <c r="D1189" s="144">
        <v>0</v>
      </c>
      <c r="E1189" s="149" t="s">
        <v>297</v>
      </c>
    </row>
    <row r="1190" spans="1:6" x14ac:dyDescent="0.2">
      <c r="A1190" s="105"/>
      <c r="B1190" s="197" t="s">
        <v>365</v>
      </c>
      <c r="C1190" s="198"/>
      <c r="D1190" s="144">
        <v>0</v>
      </c>
      <c r="E1190" s="145" t="s">
        <v>426</v>
      </c>
      <c r="F1190" s="105"/>
    </row>
    <row r="1191" spans="1:6" ht="13.5" thickBot="1" x14ac:dyDescent="0.25">
      <c r="A1191" s="105"/>
      <c r="B1191" s="195" t="s">
        <v>366</v>
      </c>
      <c r="C1191" s="196"/>
      <c r="D1191" s="144">
        <v>2</v>
      </c>
      <c r="E1191" s="145" t="s">
        <v>427</v>
      </c>
      <c r="F1191" s="105"/>
    </row>
    <row r="1192" spans="1:6" ht="27.75" customHeight="1" thickBot="1" x14ac:dyDescent="0.25">
      <c r="A1192" s="105"/>
      <c r="B1192" s="199" t="s">
        <v>371</v>
      </c>
      <c r="C1192" s="200"/>
      <c r="D1192" s="200"/>
      <c r="E1192" s="201"/>
    </row>
    <row r="1193" spans="1:6" x14ac:dyDescent="0.2">
      <c r="A1193" s="105"/>
      <c r="B1193" s="135" t="s">
        <v>18</v>
      </c>
      <c r="C1193" s="105"/>
      <c r="D1193" s="140"/>
      <c r="E1193" s="134"/>
    </row>
    <row r="1194" spans="1:6" x14ac:dyDescent="0.2">
      <c r="A1194" s="105"/>
      <c r="B1194" s="146"/>
      <c r="C1194" s="193" t="s">
        <v>24</v>
      </c>
      <c r="D1194" s="193"/>
      <c r="E1194" s="193"/>
    </row>
    <row r="1195" spans="1:6" x14ac:dyDescent="0.2">
      <c r="A1195" s="105"/>
      <c r="B1195" s="135" t="s">
        <v>19</v>
      </c>
      <c r="C1195" s="150"/>
      <c r="D1195" s="150"/>
      <c r="E1195" s="147"/>
    </row>
    <row r="1196" spans="1:6" x14ac:dyDescent="0.2">
      <c r="A1196" s="105"/>
      <c r="B1196" s="146"/>
      <c r="C1196" s="193" t="s">
        <v>101</v>
      </c>
      <c r="D1196" s="193"/>
      <c r="E1196" s="193"/>
    </row>
    <row r="1197" spans="1:6" x14ac:dyDescent="0.2">
      <c r="A1197" s="105"/>
      <c r="B1197" s="135" t="s">
        <v>20</v>
      </c>
      <c r="C1197" s="105"/>
      <c r="D1197" s="140"/>
      <c r="E1197" s="134"/>
    </row>
    <row r="1198" spans="1:6" x14ac:dyDescent="0.2">
      <c r="A1198" s="105"/>
      <c r="B1198" s="135"/>
      <c r="C1198" s="194" t="s">
        <v>25</v>
      </c>
      <c r="D1198" s="194"/>
      <c r="E1198" s="194"/>
    </row>
    <row r="1199" spans="1:6" ht="13.5" thickBot="1" x14ac:dyDescent="0.25">
      <c r="A1199" s="105"/>
      <c r="B1199" s="136"/>
      <c r="C1199" s="137"/>
      <c r="D1199" s="138"/>
      <c r="E1199" s="139"/>
    </row>
    <row r="1200" spans="1:6" x14ac:dyDescent="0.2">
      <c r="A1200" s="105"/>
      <c r="B1200" s="105"/>
      <c r="C1200" s="105"/>
      <c r="D1200" s="140"/>
      <c r="E1200" s="105"/>
    </row>
    <row r="1201" spans="1:6" ht="13.5" thickBot="1" x14ac:dyDescent="0.25">
      <c r="A1201" s="105"/>
      <c r="B1201" s="105"/>
      <c r="C1201" s="105"/>
      <c r="D1201" s="140"/>
      <c r="E1201" s="105"/>
    </row>
    <row r="1202" spans="1:6" x14ac:dyDescent="0.2">
      <c r="A1202" s="105"/>
      <c r="B1202" s="130" t="s">
        <v>284</v>
      </c>
      <c r="C1202" s="131"/>
      <c r="D1202" s="132"/>
      <c r="E1202" s="133"/>
    </row>
    <row r="1203" spans="1:6" x14ac:dyDescent="0.2">
      <c r="A1203" s="105"/>
      <c r="B1203" s="141"/>
      <c r="C1203" s="105"/>
      <c r="D1203" s="140"/>
      <c r="E1203" s="134"/>
    </row>
    <row r="1204" spans="1:6" x14ac:dyDescent="0.2">
      <c r="A1204" s="105"/>
      <c r="B1204" s="135" t="s">
        <v>16</v>
      </c>
      <c r="C1204" s="105"/>
      <c r="D1204" s="140"/>
      <c r="E1204" s="134"/>
    </row>
    <row r="1205" spans="1:6" x14ac:dyDescent="0.2">
      <c r="A1205" s="105"/>
      <c r="B1205" s="135"/>
      <c r="C1205" s="207" t="s">
        <v>470</v>
      </c>
      <c r="D1205" s="207"/>
      <c r="E1205" s="207"/>
    </row>
    <row r="1206" spans="1:6" ht="13.5" thickBot="1" x14ac:dyDescent="0.25">
      <c r="A1206" s="105"/>
      <c r="B1206" s="135" t="s">
        <v>17</v>
      </c>
      <c r="C1206" s="105"/>
      <c r="D1206" s="140"/>
      <c r="E1206" s="134"/>
    </row>
    <row r="1207" spans="1:6" ht="13.5" thickBot="1" x14ac:dyDescent="0.25">
      <c r="A1207" s="105"/>
      <c r="B1207" s="202" t="s">
        <v>98</v>
      </c>
      <c r="C1207" s="203"/>
      <c r="D1207" s="203"/>
      <c r="E1207" s="204"/>
    </row>
    <row r="1208" spans="1:6" ht="13.5" thickBot="1" x14ac:dyDescent="0.25">
      <c r="A1208" s="105"/>
      <c r="B1208" s="202" t="s">
        <v>264</v>
      </c>
      <c r="C1208" s="204"/>
      <c r="D1208" s="142" t="s">
        <v>11</v>
      </c>
      <c r="E1208" s="142" t="s">
        <v>100</v>
      </c>
    </row>
    <row r="1209" spans="1:6" x14ac:dyDescent="0.2">
      <c r="A1209" s="105"/>
      <c r="B1209" s="205" t="s">
        <v>265</v>
      </c>
      <c r="C1209" s="205"/>
      <c r="D1209" s="143">
        <v>0</v>
      </c>
      <c r="E1209" s="148" t="s">
        <v>293</v>
      </c>
    </row>
    <row r="1210" spans="1:6" x14ac:dyDescent="0.2">
      <c r="A1210" s="105"/>
      <c r="B1210" s="206" t="s">
        <v>266</v>
      </c>
      <c r="C1210" s="206"/>
      <c r="D1210" s="144">
        <v>0</v>
      </c>
      <c r="E1210" s="149" t="s">
        <v>295</v>
      </c>
    </row>
    <row r="1211" spans="1:6" x14ac:dyDescent="0.2">
      <c r="A1211" s="105"/>
      <c r="B1211" s="206" t="s">
        <v>267</v>
      </c>
      <c r="C1211" s="206"/>
      <c r="D1211" s="144">
        <v>0</v>
      </c>
      <c r="E1211" s="149" t="s">
        <v>296</v>
      </c>
    </row>
    <row r="1212" spans="1:6" x14ac:dyDescent="0.2">
      <c r="A1212" s="105"/>
      <c r="B1212" s="206" t="s">
        <v>269</v>
      </c>
      <c r="C1212" s="206"/>
      <c r="D1212" s="144">
        <v>0</v>
      </c>
      <c r="E1212" s="149" t="s">
        <v>294</v>
      </c>
    </row>
    <row r="1213" spans="1:6" x14ac:dyDescent="0.2">
      <c r="A1213" s="105"/>
      <c r="B1213" s="206" t="s">
        <v>270</v>
      </c>
      <c r="C1213" s="206"/>
      <c r="D1213" s="144">
        <v>0</v>
      </c>
      <c r="E1213" s="145" t="s">
        <v>360</v>
      </c>
    </row>
    <row r="1214" spans="1:6" x14ac:dyDescent="0.2">
      <c r="A1214" s="105"/>
      <c r="B1214" s="195" t="s">
        <v>268</v>
      </c>
      <c r="C1214" s="196"/>
      <c r="D1214" s="144">
        <v>0</v>
      </c>
      <c r="E1214" s="149" t="s">
        <v>297</v>
      </c>
    </row>
    <row r="1215" spans="1:6" x14ac:dyDescent="0.2">
      <c r="A1215" s="105"/>
      <c r="B1215" s="197" t="s">
        <v>365</v>
      </c>
      <c r="C1215" s="198"/>
      <c r="D1215" s="144">
        <v>2</v>
      </c>
      <c r="E1215" s="145" t="s">
        <v>426</v>
      </c>
      <c r="F1215" s="105"/>
    </row>
    <row r="1216" spans="1:6" ht="13.5" thickBot="1" x14ac:dyDescent="0.25">
      <c r="A1216" s="105"/>
      <c r="B1216" s="195" t="s">
        <v>366</v>
      </c>
      <c r="C1216" s="196"/>
      <c r="D1216" s="144">
        <v>0</v>
      </c>
      <c r="E1216" s="145" t="s">
        <v>427</v>
      </c>
      <c r="F1216" s="105"/>
    </row>
    <row r="1217" spans="1:5" ht="27.75" customHeight="1" thickBot="1" x14ac:dyDescent="0.25">
      <c r="A1217" s="105"/>
      <c r="B1217" s="199" t="s">
        <v>371</v>
      </c>
      <c r="C1217" s="200"/>
      <c r="D1217" s="200"/>
      <c r="E1217" s="201"/>
    </row>
    <row r="1218" spans="1:5" x14ac:dyDescent="0.2">
      <c r="A1218" s="105"/>
      <c r="B1218" s="135" t="s">
        <v>18</v>
      </c>
      <c r="C1218" s="105"/>
      <c r="D1218" s="140"/>
      <c r="E1218" s="134"/>
    </row>
    <row r="1219" spans="1:5" x14ac:dyDescent="0.2">
      <c r="A1219" s="105"/>
      <c r="B1219" s="146"/>
      <c r="C1219" s="193" t="s">
        <v>24</v>
      </c>
      <c r="D1219" s="193"/>
      <c r="E1219" s="193"/>
    </row>
    <row r="1220" spans="1:5" x14ac:dyDescent="0.2">
      <c r="A1220" s="105"/>
      <c r="B1220" s="135" t="s">
        <v>19</v>
      </c>
      <c r="C1220" s="150"/>
      <c r="D1220" s="150"/>
      <c r="E1220" s="147"/>
    </row>
    <row r="1221" spans="1:5" x14ac:dyDescent="0.2">
      <c r="A1221" s="105"/>
      <c r="B1221" s="146"/>
      <c r="C1221" s="193" t="s">
        <v>101</v>
      </c>
      <c r="D1221" s="193"/>
      <c r="E1221" s="193"/>
    </row>
    <row r="1222" spans="1:5" x14ac:dyDescent="0.2">
      <c r="A1222" s="105"/>
      <c r="B1222" s="135" t="s">
        <v>20</v>
      </c>
      <c r="C1222" s="105"/>
      <c r="D1222" s="140"/>
      <c r="E1222" s="134"/>
    </row>
    <row r="1223" spans="1:5" x14ac:dyDescent="0.2">
      <c r="A1223" s="105"/>
      <c r="B1223" s="135"/>
      <c r="C1223" s="194" t="s">
        <v>25</v>
      </c>
      <c r="D1223" s="194"/>
      <c r="E1223" s="194"/>
    </row>
    <row r="1224" spans="1:5" ht="13.5" thickBot="1" x14ac:dyDescent="0.25">
      <c r="A1224" s="105"/>
      <c r="B1224" s="136"/>
      <c r="C1224" s="137"/>
      <c r="D1224" s="138"/>
      <c r="E1224" s="139"/>
    </row>
    <row r="1225" spans="1:5" ht="13.5" thickBot="1" x14ac:dyDescent="0.25">
      <c r="A1225" s="105"/>
      <c r="B1225" s="105"/>
      <c r="C1225" s="105"/>
      <c r="D1225" s="140"/>
      <c r="E1225" s="105"/>
    </row>
    <row r="1226" spans="1:5" x14ac:dyDescent="0.2">
      <c r="A1226" s="105"/>
      <c r="B1226" s="130" t="s">
        <v>285</v>
      </c>
      <c r="C1226" s="131"/>
      <c r="D1226" s="161"/>
      <c r="E1226" s="133"/>
    </row>
    <row r="1227" spans="1:5" x14ac:dyDescent="0.2">
      <c r="A1227" s="105"/>
      <c r="B1227" s="141"/>
      <c r="C1227" s="105"/>
      <c r="D1227" s="162"/>
      <c r="E1227" s="134"/>
    </row>
    <row r="1228" spans="1:5" x14ac:dyDescent="0.2">
      <c r="A1228" s="105"/>
      <c r="B1228" s="135" t="s">
        <v>16</v>
      </c>
      <c r="C1228" s="105"/>
      <c r="D1228" s="162"/>
      <c r="E1228" s="134"/>
    </row>
    <row r="1229" spans="1:5" x14ac:dyDescent="0.2">
      <c r="A1229" s="105"/>
      <c r="B1229" s="135"/>
      <c r="C1229" s="207" t="s">
        <v>404</v>
      </c>
      <c r="D1229" s="207"/>
      <c r="E1229" s="207"/>
    </row>
    <row r="1230" spans="1:5" ht="13.5" thickBot="1" x14ac:dyDescent="0.25">
      <c r="A1230" s="105"/>
      <c r="B1230" s="135" t="s">
        <v>17</v>
      </c>
      <c r="C1230" s="105"/>
      <c r="D1230" s="162"/>
      <c r="E1230" s="134"/>
    </row>
    <row r="1231" spans="1:5" ht="13.5" thickBot="1" x14ac:dyDescent="0.25">
      <c r="A1231" s="105"/>
      <c r="B1231" s="202" t="s">
        <v>428</v>
      </c>
      <c r="C1231" s="203"/>
      <c r="D1231" s="203"/>
      <c r="E1231" s="204"/>
    </row>
    <row r="1232" spans="1:5" ht="13.5" thickBot="1" x14ac:dyDescent="0.25">
      <c r="A1232" s="105"/>
      <c r="B1232" s="202" t="s">
        <v>264</v>
      </c>
      <c r="C1232" s="204"/>
      <c r="D1232" s="142" t="s">
        <v>11</v>
      </c>
      <c r="E1232" s="142" t="s">
        <v>100</v>
      </c>
    </row>
    <row r="1233" spans="1:6" x14ac:dyDescent="0.2">
      <c r="A1233" s="105"/>
      <c r="B1233" s="205" t="s">
        <v>265</v>
      </c>
      <c r="C1233" s="205"/>
      <c r="D1233" s="159">
        <v>2</v>
      </c>
      <c r="E1233" s="148" t="s">
        <v>293</v>
      </c>
    </row>
    <row r="1234" spans="1:6" x14ac:dyDescent="0.2">
      <c r="A1234" s="105"/>
      <c r="B1234" s="206" t="s">
        <v>266</v>
      </c>
      <c r="C1234" s="206"/>
      <c r="D1234" s="160">
        <v>3</v>
      </c>
      <c r="E1234" s="149" t="s">
        <v>295</v>
      </c>
    </row>
    <row r="1235" spans="1:6" x14ac:dyDescent="0.2">
      <c r="A1235" s="105"/>
      <c r="B1235" s="206" t="s">
        <v>267</v>
      </c>
      <c r="C1235" s="206"/>
      <c r="D1235" s="160">
        <v>3</v>
      </c>
      <c r="E1235" s="149" t="s">
        <v>296</v>
      </c>
    </row>
    <row r="1236" spans="1:6" x14ac:dyDescent="0.2">
      <c r="A1236" s="105"/>
      <c r="B1236" s="206" t="s">
        <v>269</v>
      </c>
      <c r="C1236" s="206"/>
      <c r="D1236" s="160">
        <v>9</v>
      </c>
      <c r="E1236" s="149" t="s">
        <v>294</v>
      </c>
    </row>
    <row r="1237" spans="1:6" x14ac:dyDescent="0.2">
      <c r="A1237" s="105"/>
      <c r="B1237" s="206" t="s">
        <v>270</v>
      </c>
      <c r="C1237" s="206"/>
      <c r="D1237" s="160">
        <v>1</v>
      </c>
      <c r="E1237" s="145" t="s">
        <v>360</v>
      </c>
    </row>
    <row r="1238" spans="1:6" x14ac:dyDescent="0.2">
      <c r="A1238" s="105"/>
      <c r="B1238" s="195" t="s">
        <v>268</v>
      </c>
      <c r="C1238" s="196"/>
      <c r="D1238" s="160">
        <v>0</v>
      </c>
      <c r="E1238" s="149" t="s">
        <v>297</v>
      </c>
    </row>
    <row r="1239" spans="1:6" x14ac:dyDescent="0.2">
      <c r="A1239" s="105"/>
      <c r="B1239" s="197" t="s">
        <v>365</v>
      </c>
      <c r="C1239" s="198"/>
      <c r="D1239" s="160">
        <v>2</v>
      </c>
      <c r="E1239" s="145" t="s">
        <v>426</v>
      </c>
      <c r="F1239" s="105"/>
    </row>
    <row r="1240" spans="1:6" ht="13.5" thickBot="1" x14ac:dyDescent="0.25">
      <c r="A1240" s="105"/>
      <c r="B1240" s="195" t="s">
        <v>366</v>
      </c>
      <c r="C1240" s="196"/>
      <c r="D1240" s="160">
        <v>2</v>
      </c>
      <c r="E1240" s="145" t="s">
        <v>427</v>
      </c>
      <c r="F1240" s="105"/>
    </row>
    <row r="1241" spans="1:6" ht="36" customHeight="1" thickBot="1" x14ac:dyDescent="0.25">
      <c r="A1241" s="105"/>
      <c r="B1241" s="199" t="s">
        <v>484</v>
      </c>
      <c r="C1241" s="200"/>
      <c r="D1241" s="200"/>
      <c r="E1241" s="201"/>
    </row>
    <row r="1242" spans="1:6" x14ac:dyDescent="0.2">
      <c r="A1242" s="105"/>
      <c r="B1242" s="135" t="s">
        <v>18</v>
      </c>
      <c r="C1242" s="105"/>
      <c r="D1242" s="162"/>
      <c r="E1242" s="134"/>
    </row>
    <row r="1243" spans="1:6" x14ac:dyDescent="0.2">
      <c r="A1243" s="105"/>
      <c r="B1243" s="146"/>
      <c r="C1243" s="193" t="s">
        <v>24</v>
      </c>
      <c r="D1243" s="193"/>
      <c r="E1243" s="193"/>
    </row>
    <row r="1244" spans="1:6" x14ac:dyDescent="0.2">
      <c r="A1244" s="105"/>
      <c r="B1244" s="135" t="s">
        <v>19</v>
      </c>
      <c r="C1244" s="163"/>
      <c r="D1244" s="163"/>
      <c r="E1244" s="158"/>
    </row>
    <row r="1245" spans="1:6" x14ac:dyDescent="0.2">
      <c r="A1245" s="105"/>
      <c r="B1245" s="146"/>
      <c r="C1245" s="193" t="s">
        <v>101</v>
      </c>
      <c r="D1245" s="193"/>
      <c r="E1245" s="193"/>
    </row>
    <row r="1246" spans="1:6" x14ac:dyDescent="0.2">
      <c r="A1246" s="105"/>
      <c r="B1246" s="135" t="s">
        <v>20</v>
      </c>
      <c r="C1246" s="105"/>
      <c r="D1246" s="162"/>
      <c r="E1246" s="134"/>
    </row>
    <row r="1247" spans="1:6" x14ac:dyDescent="0.2">
      <c r="A1247" s="105"/>
      <c r="B1247" s="135"/>
      <c r="C1247" s="194" t="s">
        <v>25</v>
      </c>
      <c r="D1247" s="194"/>
      <c r="E1247" s="194"/>
    </row>
    <row r="1248" spans="1:6" ht="13.5" thickBot="1" x14ac:dyDescent="0.25">
      <c r="A1248" s="105"/>
      <c r="B1248" s="136"/>
      <c r="C1248" s="137"/>
      <c r="D1248" s="138"/>
      <c r="E1248" s="139"/>
    </row>
    <row r="1249" spans="1:6" ht="13.5" thickBot="1" x14ac:dyDescent="0.25">
      <c r="A1249" s="105"/>
      <c r="B1249" s="105"/>
      <c r="C1249" s="105"/>
      <c r="D1249" s="162"/>
      <c r="E1249" s="105"/>
    </row>
    <row r="1250" spans="1:6" x14ac:dyDescent="0.2">
      <c r="A1250" s="105"/>
      <c r="B1250" s="130" t="s">
        <v>286</v>
      </c>
      <c r="C1250" s="131"/>
      <c r="D1250" s="161"/>
      <c r="E1250" s="133"/>
    </row>
    <row r="1251" spans="1:6" x14ac:dyDescent="0.2">
      <c r="A1251" s="105"/>
      <c r="B1251" s="141"/>
      <c r="C1251" s="105"/>
      <c r="D1251" s="162"/>
      <c r="E1251" s="134"/>
    </row>
    <row r="1252" spans="1:6" x14ac:dyDescent="0.2">
      <c r="A1252" s="105"/>
      <c r="B1252" s="135" t="s">
        <v>16</v>
      </c>
      <c r="C1252" s="105"/>
      <c r="D1252" s="162"/>
      <c r="E1252" s="134"/>
    </row>
    <row r="1253" spans="1:6" x14ac:dyDescent="0.2">
      <c r="A1253" s="105"/>
      <c r="B1253" s="135"/>
      <c r="C1253" s="207" t="s">
        <v>406</v>
      </c>
      <c r="D1253" s="207"/>
      <c r="E1253" s="207"/>
    </row>
    <row r="1254" spans="1:6" ht="13.5" thickBot="1" x14ac:dyDescent="0.25">
      <c r="A1254" s="105"/>
      <c r="B1254" s="135" t="s">
        <v>17</v>
      </c>
      <c r="C1254" s="105"/>
      <c r="D1254" s="162"/>
      <c r="E1254" s="134"/>
    </row>
    <row r="1255" spans="1:6" ht="13.5" thickBot="1" x14ac:dyDescent="0.25">
      <c r="A1255" s="105"/>
      <c r="B1255" s="202" t="s">
        <v>428</v>
      </c>
      <c r="C1255" s="203"/>
      <c r="D1255" s="203"/>
      <c r="E1255" s="204"/>
    </row>
    <row r="1256" spans="1:6" ht="13.5" thickBot="1" x14ac:dyDescent="0.25">
      <c r="A1256" s="105"/>
      <c r="B1256" s="202" t="s">
        <v>264</v>
      </c>
      <c r="C1256" s="204"/>
      <c r="D1256" s="142" t="s">
        <v>11</v>
      </c>
      <c r="E1256" s="142" t="s">
        <v>100</v>
      </c>
    </row>
    <row r="1257" spans="1:6" x14ac:dyDescent="0.2">
      <c r="A1257" s="105"/>
      <c r="B1257" s="205" t="s">
        <v>265</v>
      </c>
      <c r="C1257" s="205"/>
      <c r="D1257" s="159">
        <v>2</v>
      </c>
      <c r="E1257" s="148" t="s">
        <v>293</v>
      </c>
    </row>
    <row r="1258" spans="1:6" x14ac:dyDescent="0.2">
      <c r="A1258" s="105"/>
      <c r="B1258" s="206" t="s">
        <v>266</v>
      </c>
      <c r="C1258" s="206"/>
      <c r="D1258" s="160">
        <v>3</v>
      </c>
      <c r="E1258" s="149" t="s">
        <v>295</v>
      </c>
    </row>
    <row r="1259" spans="1:6" x14ac:dyDescent="0.2">
      <c r="A1259" s="105"/>
      <c r="B1259" s="206" t="s">
        <v>267</v>
      </c>
      <c r="C1259" s="206"/>
      <c r="D1259" s="160">
        <v>3</v>
      </c>
      <c r="E1259" s="149" t="s">
        <v>296</v>
      </c>
    </row>
    <row r="1260" spans="1:6" x14ac:dyDescent="0.2">
      <c r="A1260" s="105"/>
      <c r="B1260" s="206" t="s">
        <v>269</v>
      </c>
      <c r="C1260" s="206"/>
      <c r="D1260" s="160">
        <v>9</v>
      </c>
      <c r="E1260" s="149" t="s">
        <v>294</v>
      </c>
    </row>
    <row r="1261" spans="1:6" x14ac:dyDescent="0.2">
      <c r="A1261" s="105"/>
      <c r="B1261" s="206" t="s">
        <v>270</v>
      </c>
      <c r="C1261" s="206"/>
      <c r="D1261" s="160">
        <v>1</v>
      </c>
      <c r="E1261" s="145" t="s">
        <v>360</v>
      </c>
    </row>
    <row r="1262" spans="1:6" x14ac:dyDescent="0.2">
      <c r="A1262" s="105"/>
      <c r="B1262" s="195" t="s">
        <v>268</v>
      </c>
      <c r="C1262" s="196"/>
      <c r="D1262" s="160">
        <v>0</v>
      </c>
      <c r="E1262" s="149" t="s">
        <v>297</v>
      </c>
    </row>
    <row r="1263" spans="1:6" x14ac:dyDescent="0.2">
      <c r="A1263" s="105"/>
      <c r="B1263" s="197" t="s">
        <v>365</v>
      </c>
      <c r="C1263" s="198"/>
      <c r="D1263" s="160">
        <v>2</v>
      </c>
      <c r="E1263" s="145" t="s">
        <v>426</v>
      </c>
      <c r="F1263" s="105"/>
    </row>
    <row r="1264" spans="1:6" ht="13.5" thickBot="1" x14ac:dyDescent="0.25">
      <c r="A1264" s="105"/>
      <c r="B1264" s="195" t="s">
        <v>366</v>
      </c>
      <c r="C1264" s="196"/>
      <c r="D1264" s="160">
        <v>2</v>
      </c>
      <c r="E1264" s="145" t="s">
        <v>427</v>
      </c>
      <c r="F1264" s="105"/>
    </row>
    <row r="1265" spans="1:5" ht="25.5" customHeight="1" thickBot="1" x14ac:dyDescent="0.25">
      <c r="A1265" s="105"/>
      <c r="B1265" s="199" t="s">
        <v>485</v>
      </c>
      <c r="C1265" s="200"/>
      <c r="D1265" s="200"/>
      <c r="E1265" s="201"/>
    </row>
    <row r="1266" spans="1:5" x14ac:dyDescent="0.2">
      <c r="A1266" s="105"/>
      <c r="B1266" s="135" t="s">
        <v>18</v>
      </c>
      <c r="C1266" s="105"/>
      <c r="D1266" s="162"/>
      <c r="E1266" s="134"/>
    </row>
    <row r="1267" spans="1:5" x14ac:dyDescent="0.2">
      <c r="A1267" s="105"/>
      <c r="B1267" s="146"/>
      <c r="C1267" s="193" t="s">
        <v>24</v>
      </c>
      <c r="D1267" s="193"/>
      <c r="E1267" s="193"/>
    </row>
    <row r="1268" spans="1:5" x14ac:dyDescent="0.2">
      <c r="A1268" s="105"/>
      <c r="B1268" s="135" t="s">
        <v>19</v>
      </c>
      <c r="C1268" s="163"/>
      <c r="D1268" s="163"/>
      <c r="E1268" s="158"/>
    </row>
    <row r="1269" spans="1:5" x14ac:dyDescent="0.2">
      <c r="A1269" s="105"/>
      <c r="B1269" s="146"/>
      <c r="C1269" s="193" t="s">
        <v>101</v>
      </c>
      <c r="D1269" s="193"/>
      <c r="E1269" s="193"/>
    </row>
    <row r="1270" spans="1:5" x14ac:dyDescent="0.2">
      <c r="A1270" s="105"/>
      <c r="B1270" s="135" t="s">
        <v>20</v>
      </c>
      <c r="C1270" s="105"/>
      <c r="D1270" s="162"/>
      <c r="E1270" s="134"/>
    </row>
    <row r="1271" spans="1:5" x14ac:dyDescent="0.2">
      <c r="A1271" s="105"/>
      <c r="B1271" s="135"/>
      <c r="C1271" s="194" t="s">
        <v>25</v>
      </c>
      <c r="D1271" s="194"/>
      <c r="E1271" s="194"/>
    </row>
    <row r="1272" spans="1:5" ht="13.5" thickBot="1" x14ac:dyDescent="0.25">
      <c r="A1272" s="105"/>
      <c r="B1272" s="136"/>
      <c r="C1272" s="137"/>
      <c r="D1272" s="138"/>
      <c r="E1272" s="139"/>
    </row>
    <row r="1273" spans="1:5" x14ac:dyDescent="0.2">
      <c r="A1273" s="105"/>
      <c r="B1273" s="105"/>
      <c r="C1273" s="105"/>
      <c r="D1273" s="140"/>
      <c r="E1273" s="105"/>
    </row>
    <row r="1274" spans="1:5" ht="13.5" thickBot="1" x14ac:dyDescent="0.25">
      <c r="A1274" s="105"/>
      <c r="B1274" s="105"/>
      <c r="C1274" s="105"/>
      <c r="D1274" s="140"/>
      <c r="E1274" s="105"/>
    </row>
    <row r="1275" spans="1:5" x14ac:dyDescent="0.2">
      <c r="A1275" s="105"/>
      <c r="B1275" s="130" t="s">
        <v>287</v>
      </c>
      <c r="C1275" s="131"/>
      <c r="D1275" s="132"/>
      <c r="E1275" s="133"/>
    </row>
    <row r="1276" spans="1:5" x14ac:dyDescent="0.2">
      <c r="A1276" s="105"/>
      <c r="B1276" s="141"/>
      <c r="C1276" s="105"/>
      <c r="D1276" s="140"/>
      <c r="E1276" s="134"/>
    </row>
    <row r="1277" spans="1:5" x14ac:dyDescent="0.2">
      <c r="A1277" s="105"/>
      <c r="B1277" s="135" t="s">
        <v>16</v>
      </c>
      <c r="C1277" s="105"/>
      <c r="D1277" s="140"/>
      <c r="E1277" s="134"/>
    </row>
    <row r="1278" spans="1:5" x14ac:dyDescent="0.2">
      <c r="A1278" s="105"/>
      <c r="B1278" s="135"/>
      <c r="C1278" s="207" t="s">
        <v>456</v>
      </c>
      <c r="D1278" s="207"/>
      <c r="E1278" s="207"/>
    </row>
    <row r="1279" spans="1:5" ht="13.5" thickBot="1" x14ac:dyDescent="0.25">
      <c r="A1279" s="105"/>
      <c r="B1279" s="135" t="s">
        <v>17</v>
      </c>
      <c r="C1279" s="105"/>
      <c r="D1279" s="140"/>
      <c r="E1279" s="134"/>
    </row>
    <row r="1280" spans="1:5" ht="13.5" thickBot="1" x14ac:dyDescent="0.25">
      <c r="A1280" s="105"/>
      <c r="B1280" s="202" t="s">
        <v>98</v>
      </c>
      <c r="C1280" s="203"/>
      <c r="D1280" s="203"/>
      <c r="E1280" s="204"/>
    </row>
    <row r="1281" spans="1:5" ht="13.5" thickBot="1" x14ac:dyDescent="0.25">
      <c r="A1281" s="105"/>
      <c r="B1281" s="202" t="s">
        <v>264</v>
      </c>
      <c r="C1281" s="204"/>
      <c r="D1281" s="142" t="s">
        <v>11</v>
      </c>
      <c r="E1281" s="142" t="s">
        <v>100</v>
      </c>
    </row>
    <row r="1282" spans="1:5" x14ac:dyDescent="0.2">
      <c r="A1282" s="105"/>
      <c r="B1282" s="205" t="s">
        <v>265</v>
      </c>
      <c r="C1282" s="205"/>
      <c r="D1282" s="143">
        <v>0</v>
      </c>
      <c r="E1282" s="148" t="s">
        <v>293</v>
      </c>
    </row>
    <row r="1283" spans="1:5" x14ac:dyDescent="0.2">
      <c r="A1283" s="105"/>
      <c r="B1283" s="206" t="s">
        <v>266</v>
      </c>
      <c r="C1283" s="206"/>
      <c r="D1283" s="144">
        <v>0</v>
      </c>
      <c r="E1283" s="149" t="s">
        <v>295</v>
      </c>
    </row>
    <row r="1284" spans="1:5" x14ac:dyDescent="0.2">
      <c r="A1284" s="105"/>
      <c r="B1284" s="206" t="s">
        <v>267</v>
      </c>
      <c r="C1284" s="206"/>
      <c r="D1284" s="144">
        <v>0</v>
      </c>
      <c r="E1284" s="149" t="s">
        <v>296</v>
      </c>
    </row>
    <row r="1285" spans="1:5" x14ac:dyDescent="0.2">
      <c r="A1285" s="105"/>
      <c r="B1285" s="206" t="s">
        <v>269</v>
      </c>
      <c r="C1285" s="206"/>
      <c r="D1285" s="144">
        <v>0</v>
      </c>
      <c r="E1285" s="149" t="s">
        <v>294</v>
      </c>
    </row>
    <row r="1286" spans="1:5" x14ac:dyDescent="0.2">
      <c r="A1286" s="105"/>
      <c r="B1286" s="206" t="s">
        <v>270</v>
      </c>
      <c r="C1286" s="206"/>
      <c r="D1286" s="144">
        <v>0</v>
      </c>
      <c r="E1286" s="145" t="s">
        <v>360</v>
      </c>
    </row>
    <row r="1287" spans="1:5" x14ac:dyDescent="0.2">
      <c r="A1287" s="105"/>
      <c r="B1287" s="195" t="s">
        <v>268</v>
      </c>
      <c r="C1287" s="196"/>
      <c r="D1287" s="144">
        <v>0</v>
      </c>
      <c r="E1287" s="149" t="s">
        <v>297</v>
      </c>
    </row>
    <row r="1288" spans="1:5" x14ac:dyDescent="0.2">
      <c r="A1288" s="105"/>
      <c r="B1288" s="197" t="s">
        <v>365</v>
      </c>
      <c r="C1288" s="198"/>
      <c r="D1288" s="144">
        <v>0</v>
      </c>
      <c r="E1288" s="145" t="s">
        <v>426</v>
      </c>
    </row>
    <row r="1289" spans="1:5" ht="13.5" thickBot="1" x14ac:dyDescent="0.25">
      <c r="A1289" s="105"/>
      <c r="B1289" s="195" t="s">
        <v>366</v>
      </c>
      <c r="C1289" s="196"/>
      <c r="D1289" s="144">
        <v>5</v>
      </c>
      <c r="E1289" s="145" t="s">
        <v>427</v>
      </c>
    </row>
    <row r="1290" spans="1:5" ht="13.5" customHeight="1" thickBot="1" x14ac:dyDescent="0.25">
      <c r="A1290" s="105"/>
      <c r="B1290" s="199" t="s">
        <v>409</v>
      </c>
      <c r="C1290" s="200"/>
      <c r="D1290" s="200"/>
      <c r="E1290" s="201"/>
    </row>
    <row r="1291" spans="1:5" x14ac:dyDescent="0.2">
      <c r="A1291" s="105"/>
      <c r="B1291" s="135" t="s">
        <v>18</v>
      </c>
      <c r="C1291" s="105"/>
      <c r="D1291" s="140"/>
      <c r="E1291" s="134"/>
    </row>
    <row r="1292" spans="1:5" x14ac:dyDescent="0.2">
      <c r="A1292" s="105"/>
      <c r="B1292" s="146"/>
      <c r="C1292" s="193" t="s">
        <v>24</v>
      </c>
      <c r="D1292" s="193"/>
      <c r="E1292" s="193"/>
    </row>
    <row r="1293" spans="1:5" x14ac:dyDescent="0.2">
      <c r="A1293" s="105"/>
      <c r="B1293" s="135" t="s">
        <v>19</v>
      </c>
      <c r="C1293" s="150"/>
      <c r="D1293" s="150"/>
      <c r="E1293" s="147"/>
    </row>
    <row r="1294" spans="1:5" x14ac:dyDescent="0.2">
      <c r="A1294" s="105"/>
      <c r="B1294" s="146"/>
      <c r="C1294" s="193" t="s">
        <v>101</v>
      </c>
      <c r="D1294" s="193"/>
      <c r="E1294" s="193"/>
    </row>
    <row r="1295" spans="1:5" x14ac:dyDescent="0.2">
      <c r="A1295" s="105"/>
      <c r="B1295" s="135" t="s">
        <v>20</v>
      </c>
      <c r="C1295" s="105"/>
      <c r="D1295" s="140"/>
      <c r="E1295" s="134"/>
    </row>
    <row r="1296" spans="1:5" x14ac:dyDescent="0.2">
      <c r="A1296" s="105"/>
      <c r="B1296" s="135"/>
      <c r="C1296" s="194" t="s">
        <v>25</v>
      </c>
      <c r="D1296" s="194"/>
      <c r="E1296" s="194"/>
    </row>
    <row r="1297" spans="1:6" ht="13.5" thickBot="1" x14ac:dyDescent="0.25">
      <c r="A1297" s="105"/>
      <c r="B1297" s="136"/>
      <c r="C1297" s="137"/>
      <c r="D1297" s="138"/>
      <c r="E1297" s="139"/>
    </row>
    <row r="1298" spans="1:6" ht="13.5" thickBot="1" x14ac:dyDescent="0.25">
      <c r="A1298" s="105"/>
      <c r="B1298" s="105"/>
      <c r="C1298" s="105"/>
      <c r="D1298" s="140"/>
      <c r="E1298" s="105"/>
    </row>
    <row r="1299" spans="1:6" x14ac:dyDescent="0.2">
      <c r="A1299" s="105"/>
      <c r="B1299" s="130" t="s">
        <v>288</v>
      </c>
      <c r="C1299" s="131"/>
      <c r="D1299" s="132"/>
      <c r="E1299" s="133"/>
    </row>
    <row r="1300" spans="1:6" x14ac:dyDescent="0.2">
      <c r="A1300" s="105"/>
      <c r="B1300" s="141"/>
      <c r="C1300" s="105"/>
      <c r="D1300" s="140"/>
      <c r="E1300" s="134"/>
    </row>
    <row r="1301" spans="1:6" x14ac:dyDescent="0.2">
      <c r="A1301" s="105"/>
      <c r="B1301" s="135" t="s">
        <v>16</v>
      </c>
      <c r="C1301" s="210"/>
      <c r="D1301" s="210"/>
      <c r="E1301" s="211"/>
    </row>
    <row r="1302" spans="1:6" x14ac:dyDescent="0.2">
      <c r="A1302" s="105"/>
      <c r="B1302" s="135"/>
      <c r="C1302" s="193"/>
      <c r="D1302" s="193"/>
      <c r="E1302" s="193"/>
    </row>
    <row r="1303" spans="1:6" ht="13.5" thickBot="1" x14ac:dyDescent="0.25">
      <c r="A1303" s="105"/>
      <c r="B1303" s="135" t="s">
        <v>17</v>
      </c>
      <c r="C1303" s="105"/>
      <c r="D1303" s="140"/>
      <c r="E1303" s="134"/>
    </row>
    <row r="1304" spans="1:6" ht="13.5" thickBot="1" x14ac:dyDescent="0.25">
      <c r="A1304" s="105"/>
      <c r="B1304" s="202" t="s">
        <v>98</v>
      </c>
      <c r="C1304" s="203"/>
      <c r="D1304" s="203"/>
      <c r="E1304" s="204"/>
    </row>
    <row r="1305" spans="1:6" ht="13.5" thickBot="1" x14ac:dyDescent="0.25">
      <c r="A1305" s="105"/>
      <c r="B1305" s="202" t="s">
        <v>264</v>
      </c>
      <c r="C1305" s="204"/>
      <c r="D1305" s="142" t="s">
        <v>11</v>
      </c>
      <c r="E1305" s="142" t="s">
        <v>100</v>
      </c>
    </row>
    <row r="1306" spans="1:6" x14ac:dyDescent="0.2">
      <c r="A1306" s="105"/>
      <c r="B1306" s="205" t="s">
        <v>265</v>
      </c>
      <c r="C1306" s="205"/>
      <c r="D1306" s="143">
        <v>0</v>
      </c>
      <c r="E1306" s="148" t="s">
        <v>293</v>
      </c>
    </row>
    <row r="1307" spans="1:6" x14ac:dyDescent="0.2">
      <c r="A1307" s="105"/>
      <c r="B1307" s="206" t="s">
        <v>266</v>
      </c>
      <c r="C1307" s="206"/>
      <c r="D1307" s="144">
        <v>0</v>
      </c>
      <c r="E1307" s="149" t="s">
        <v>295</v>
      </c>
    </row>
    <row r="1308" spans="1:6" x14ac:dyDescent="0.2">
      <c r="A1308" s="105"/>
      <c r="B1308" s="206" t="s">
        <v>267</v>
      </c>
      <c r="C1308" s="206"/>
      <c r="D1308" s="144">
        <v>0</v>
      </c>
      <c r="E1308" s="149" t="s">
        <v>296</v>
      </c>
    </row>
    <row r="1309" spans="1:6" x14ac:dyDescent="0.2">
      <c r="A1309" s="105"/>
      <c r="B1309" s="206" t="s">
        <v>269</v>
      </c>
      <c r="C1309" s="206"/>
      <c r="D1309" s="144">
        <v>0</v>
      </c>
      <c r="E1309" s="149" t="s">
        <v>294</v>
      </c>
    </row>
    <row r="1310" spans="1:6" x14ac:dyDescent="0.2">
      <c r="A1310" s="105"/>
      <c r="B1310" s="206" t="s">
        <v>270</v>
      </c>
      <c r="C1310" s="206"/>
      <c r="D1310" s="144">
        <v>0</v>
      </c>
      <c r="E1310" s="145" t="s">
        <v>360</v>
      </c>
    </row>
    <row r="1311" spans="1:6" x14ac:dyDescent="0.2">
      <c r="A1311" s="105"/>
      <c r="B1311" s="195" t="s">
        <v>268</v>
      </c>
      <c r="C1311" s="196"/>
      <c r="D1311" s="144">
        <v>0</v>
      </c>
      <c r="E1311" s="149" t="s">
        <v>297</v>
      </c>
    </row>
    <row r="1312" spans="1:6" x14ac:dyDescent="0.2">
      <c r="A1312" s="105"/>
      <c r="B1312" s="197" t="s">
        <v>365</v>
      </c>
      <c r="C1312" s="198"/>
      <c r="D1312" s="144">
        <v>1</v>
      </c>
      <c r="E1312" s="145" t="s">
        <v>426</v>
      </c>
      <c r="F1312" s="105"/>
    </row>
    <row r="1313" spans="1:6" ht="13.5" thickBot="1" x14ac:dyDescent="0.25">
      <c r="A1313" s="105"/>
      <c r="B1313" s="195" t="s">
        <v>366</v>
      </c>
      <c r="C1313" s="196"/>
      <c r="D1313" s="144">
        <v>2</v>
      </c>
      <c r="E1313" s="145" t="s">
        <v>427</v>
      </c>
      <c r="F1313" s="105"/>
    </row>
    <row r="1314" spans="1:6" ht="27" customHeight="1" thickBot="1" x14ac:dyDescent="0.25">
      <c r="A1314" s="105"/>
      <c r="B1314" s="199" t="s">
        <v>414</v>
      </c>
      <c r="C1314" s="200"/>
      <c r="D1314" s="200"/>
      <c r="E1314" s="201"/>
    </row>
    <row r="1315" spans="1:6" x14ac:dyDescent="0.2">
      <c r="A1315" s="105"/>
      <c r="B1315" s="135" t="s">
        <v>18</v>
      </c>
      <c r="C1315" s="105"/>
      <c r="D1315" s="140"/>
      <c r="E1315" s="134"/>
    </row>
    <row r="1316" spans="1:6" x14ac:dyDescent="0.2">
      <c r="A1316" s="105"/>
      <c r="B1316" s="146"/>
      <c r="C1316" s="193" t="s">
        <v>24</v>
      </c>
      <c r="D1316" s="193"/>
      <c r="E1316" s="193"/>
    </row>
    <row r="1317" spans="1:6" x14ac:dyDescent="0.2">
      <c r="A1317" s="105"/>
      <c r="B1317" s="135" t="s">
        <v>19</v>
      </c>
      <c r="C1317" s="150"/>
      <c r="D1317" s="150"/>
      <c r="E1317" s="147"/>
    </row>
    <row r="1318" spans="1:6" x14ac:dyDescent="0.2">
      <c r="A1318" s="105"/>
      <c r="B1318" s="146"/>
      <c r="C1318" s="193" t="s">
        <v>101</v>
      </c>
      <c r="D1318" s="193"/>
      <c r="E1318" s="193"/>
    </row>
    <row r="1319" spans="1:6" x14ac:dyDescent="0.2">
      <c r="A1319" s="105"/>
      <c r="B1319" s="135" t="s">
        <v>20</v>
      </c>
      <c r="C1319" s="105"/>
      <c r="D1319" s="140"/>
      <c r="E1319" s="134"/>
    </row>
    <row r="1320" spans="1:6" x14ac:dyDescent="0.2">
      <c r="A1320" s="105"/>
      <c r="B1320" s="135"/>
      <c r="C1320" s="194" t="s">
        <v>25</v>
      </c>
      <c r="D1320" s="194"/>
      <c r="E1320" s="194"/>
    </row>
    <row r="1321" spans="1:6" ht="13.5" thickBot="1" x14ac:dyDescent="0.25">
      <c r="A1321" s="105"/>
      <c r="B1321" s="136"/>
      <c r="C1321" s="137"/>
      <c r="D1321" s="138"/>
      <c r="E1321" s="139"/>
    </row>
    <row r="1322" spans="1:6" ht="13.5" thickBot="1" x14ac:dyDescent="0.25">
      <c r="A1322" s="105"/>
      <c r="B1322" s="105"/>
      <c r="C1322" s="105"/>
      <c r="D1322" s="140"/>
      <c r="E1322" s="105"/>
    </row>
    <row r="1323" spans="1:6" x14ac:dyDescent="0.2">
      <c r="A1323" s="105"/>
      <c r="B1323" s="130" t="s">
        <v>289</v>
      </c>
      <c r="C1323" s="131"/>
      <c r="D1323" s="132"/>
      <c r="E1323" s="133"/>
    </row>
    <row r="1324" spans="1:6" x14ac:dyDescent="0.2">
      <c r="A1324" s="105"/>
      <c r="B1324" s="141"/>
      <c r="C1324" s="105"/>
      <c r="D1324" s="140"/>
      <c r="E1324" s="134"/>
    </row>
    <row r="1325" spans="1:6" x14ac:dyDescent="0.2">
      <c r="A1325" s="105"/>
      <c r="B1325" s="135" t="s">
        <v>16</v>
      </c>
      <c r="C1325" s="210"/>
      <c r="D1325" s="210"/>
      <c r="E1325" s="211"/>
    </row>
    <row r="1326" spans="1:6" x14ac:dyDescent="0.2">
      <c r="A1326" s="105"/>
      <c r="B1326" s="135"/>
      <c r="C1326" s="193"/>
      <c r="D1326" s="193"/>
      <c r="E1326" s="193"/>
    </row>
    <row r="1327" spans="1:6" ht="13.5" thickBot="1" x14ac:dyDescent="0.25">
      <c r="A1327" s="105"/>
      <c r="B1327" s="135" t="s">
        <v>17</v>
      </c>
      <c r="C1327" s="105"/>
      <c r="D1327" s="140"/>
      <c r="E1327" s="134"/>
    </row>
    <row r="1328" spans="1:6" ht="13.5" thickBot="1" x14ac:dyDescent="0.25">
      <c r="A1328" s="105"/>
      <c r="B1328" s="202" t="s">
        <v>98</v>
      </c>
      <c r="C1328" s="203"/>
      <c r="D1328" s="203"/>
      <c r="E1328" s="204"/>
    </row>
    <row r="1329" spans="1:6" ht="13.5" thickBot="1" x14ac:dyDescent="0.25">
      <c r="A1329" s="105"/>
      <c r="B1329" s="202" t="s">
        <v>264</v>
      </c>
      <c r="C1329" s="204"/>
      <c r="D1329" s="142" t="s">
        <v>11</v>
      </c>
      <c r="E1329" s="142" t="s">
        <v>100</v>
      </c>
    </row>
    <row r="1330" spans="1:6" x14ac:dyDescent="0.2">
      <c r="A1330" s="105"/>
      <c r="B1330" s="205" t="s">
        <v>265</v>
      </c>
      <c r="C1330" s="205"/>
      <c r="D1330" s="143">
        <v>0</v>
      </c>
      <c r="E1330" s="148" t="s">
        <v>293</v>
      </c>
    </row>
    <row r="1331" spans="1:6" x14ac:dyDescent="0.2">
      <c r="A1331" s="105"/>
      <c r="B1331" s="206" t="s">
        <v>266</v>
      </c>
      <c r="C1331" s="206"/>
      <c r="D1331" s="144">
        <v>0</v>
      </c>
      <c r="E1331" s="149" t="s">
        <v>295</v>
      </c>
    </row>
    <row r="1332" spans="1:6" x14ac:dyDescent="0.2">
      <c r="A1332" s="105"/>
      <c r="B1332" s="206" t="s">
        <v>267</v>
      </c>
      <c r="C1332" s="206"/>
      <c r="D1332" s="144">
        <v>0</v>
      </c>
      <c r="E1332" s="149" t="s">
        <v>296</v>
      </c>
    </row>
    <row r="1333" spans="1:6" x14ac:dyDescent="0.2">
      <c r="A1333" s="105"/>
      <c r="B1333" s="206" t="s">
        <v>269</v>
      </c>
      <c r="C1333" s="206"/>
      <c r="D1333" s="144">
        <v>0</v>
      </c>
      <c r="E1333" s="149" t="s">
        <v>294</v>
      </c>
    </row>
    <row r="1334" spans="1:6" x14ac:dyDescent="0.2">
      <c r="A1334" s="105"/>
      <c r="B1334" s="206" t="s">
        <v>270</v>
      </c>
      <c r="C1334" s="206"/>
      <c r="D1334" s="144">
        <v>0</v>
      </c>
      <c r="E1334" s="145" t="s">
        <v>360</v>
      </c>
    </row>
    <row r="1335" spans="1:6" x14ac:dyDescent="0.2">
      <c r="A1335" s="105"/>
      <c r="B1335" s="195" t="s">
        <v>268</v>
      </c>
      <c r="C1335" s="196"/>
      <c r="D1335" s="144">
        <v>0</v>
      </c>
      <c r="E1335" s="149" t="s">
        <v>297</v>
      </c>
    </row>
    <row r="1336" spans="1:6" x14ac:dyDescent="0.2">
      <c r="A1336" s="105"/>
      <c r="B1336" s="197" t="s">
        <v>365</v>
      </c>
      <c r="C1336" s="198"/>
      <c r="D1336" s="144">
        <v>0</v>
      </c>
      <c r="E1336" s="145" t="s">
        <v>426</v>
      </c>
      <c r="F1336" s="105"/>
    </row>
    <row r="1337" spans="1:6" ht="13.5" thickBot="1" x14ac:dyDescent="0.25">
      <c r="A1337" s="105"/>
      <c r="B1337" s="195" t="s">
        <v>366</v>
      </c>
      <c r="C1337" s="196"/>
      <c r="D1337" s="144">
        <v>3</v>
      </c>
      <c r="E1337" s="145" t="s">
        <v>427</v>
      </c>
      <c r="F1337" s="105"/>
    </row>
    <row r="1338" spans="1:6" ht="27" customHeight="1" thickBot="1" x14ac:dyDescent="0.25">
      <c r="A1338" s="105"/>
      <c r="B1338" s="199" t="s">
        <v>414</v>
      </c>
      <c r="C1338" s="200"/>
      <c r="D1338" s="200"/>
      <c r="E1338" s="201"/>
    </row>
    <row r="1339" spans="1:6" x14ac:dyDescent="0.2">
      <c r="A1339" s="105"/>
      <c r="B1339" s="135" t="s">
        <v>18</v>
      </c>
      <c r="C1339" s="105"/>
      <c r="D1339" s="140"/>
      <c r="E1339" s="134"/>
    </row>
    <row r="1340" spans="1:6" x14ac:dyDescent="0.2">
      <c r="A1340" s="105"/>
      <c r="B1340" s="146"/>
      <c r="C1340" s="193" t="s">
        <v>24</v>
      </c>
      <c r="D1340" s="193"/>
      <c r="E1340" s="193"/>
    </row>
    <row r="1341" spans="1:6" x14ac:dyDescent="0.2">
      <c r="A1341" s="105"/>
      <c r="B1341" s="135" t="s">
        <v>19</v>
      </c>
      <c r="C1341" s="150"/>
      <c r="D1341" s="150"/>
      <c r="E1341" s="147"/>
    </row>
    <row r="1342" spans="1:6" x14ac:dyDescent="0.2">
      <c r="A1342" s="105"/>
      <c r="B1342" s="146"/>
      <c r="C1342" s="193" t="s">
        <v>101</v>
      </c>
      <c r="D1342" s="193"/>
      <c r="E1342" s="193"/>
    </row>
    <row r="1343" spans="1:6" x14ac:dyDescent="0.2">
      <c r="A1343" s="105"/>
      <c r="B1343" s="135" t="s">
        <v>20</v>
      </c>
      <c r="C1343" s="105"/>
      <c r="D1343" s="140"/>
      <c r="E1343" s="134"/>
    </row>
    <row r="1344" spans="1:6" x14ac:dyDescent="0.2">
      <c r="A1344" s="105"/>
      <c r="B1344" s="135"/>
      <c r="C1344" s="194" t="s">
        <v>25</v>
      </c>
      <c r="D1344" s="194"/>
      <c r="E1344" s="194"/>
    </row>
    <row r="1345" spans="1:6" ht="13.5" thickBot="1" x14ac:dyDescent="0.25">
      <c r="A1345" s="105"/>
      <c r="B1345" s="136"/>
      <c r="C1345" s="137"/>
      <c r="D1345" s="138"/>
      <c r="E1345" s="139"/>
    </row>
    <row r="1346" spans="1:6" ht="13.5" thickBot="1" x14ac:dyDescent="0.25">
      <c r="A1346" s="105"/>
      <c r="B1346" s="105"/>
      <c r="C1346" s="105"/>
      <c r="D1346" s="140"/>
      <c r="E1346" s="105"/>
    </row>
    <row r="1347" spans="1:6" x14ac:dyDescent="0.2">
      <c r="A1347" s="105"/>
      <c r="B1347" s="130" t="s">
        <v>290</v>
      </c>
      <c r="C1347" s="131"/>
      <c r="D1347" s="132"/>
      <c r="E1347" s="133"/>
    </row>
    <row r="1348" spans="1:6" x14ac:dyDescent="0.2">
      <c r="A1348" s="105"/>
      <c r="B1348" s="141"/>
      <c r="C1348" s="105"/>
      <c r="D1348" s="140"/>
      <c r="E1348" s="134"/>
    </row>
    <row r="1349" spans="1:6" x14ac:dyDescent="0.2">
      <c r="A1349" s="105"/>
      <c r="B1349" s="135" t="s">
        <v>16</v>
      </c>
      <c r="C1349" s="210"/>
      <c r="D1349" s="210"/>
      <c r="E1349" s="211"/>
    </row>
    <row r="1350" spans="1:6" x14ac:dyDescent="0.2">
      <c r="A1350" s="105"/>
      <c r="B1350" s="135"/>
      <c r="C1350" s="193"/>
      <c r="D1350" s="193"/>
      <c r="E1350" s="193"/>
    </row>
    <row r="1351" spans="1:6" ht="13.5" thickBot="1" x14ac:dyDescent="0.25">
      <c r="A1351" s="105"/>
      <c r="B1351" s="135" t="s">
        <v>17</v>
      </c>
      <c r="C1351" s="105"/>
      <c r="D1351" s="140"/>
      <c r="E1351" s="134"/>
    </row>
    <row r="1352" spans="1:6" ht="13.5" thickBot="1" x14ac:dyDescent="0.25">
      <c r="A1352" s="105"/>
      <c r="B1352" s="202" t="s">
        <v>98</v>
      </c>
      <c r="C1352" s="203"/>
      <c r="D1352" s="203"/>
      <c r="E1352" s="204"/>
    </row>
    <row r="1353" spans="1:6" ht="13.5" thickBot="1" x14ac:dyDescent="0.25">
      <c r="A1353" s="105"/>
      <c r="B1353" s="202" t="s">
        <v>264</v>
      </c>
      <c r="C1353" s="204"/>
      <c r="D1353" s="142" t="s">
        <v>11</v>
      </c>
      <c r="E1353" s="142" t="s">
        <v>100</v>
      </c>
    </row>
    <row r="1354" spans="1:6" x14ac:dyDescent="0.2">
      <c r="A1354" s="105"/>
      <c r="B1354" s="205" t="s">
        <v>265</v>
      </c>
      <c r="C1354" s="205"/>
      <c r="D1354" s="143">
        <v>0</v>
      </c>
      <c r="E1354" s="148" t="s">
        <v>293</v>
      </c>
    </row>
    <row r="1355" spans="1:6" x14ac:dyDescent="0.2">
      <c r="A1355" s="105"/>
      <c r="B1355" s="206" t="s">
        <v>266</v>
      </c>
      <c r="C1355" s="206"/>
      <c r="D1355" s="144">
        <v>0</v>
      </c>
      <c r="E1355" s="149" t="s">
        <v>295</v>
      </c>
    </row>
    <row r="1356" spans="1:6" x14ac:dyDescent="0.2">
      <c r="A1356" s="105"/>
      <c r="B1356" s="206" t="s">
        <v>267</v>
      </c>
      <c r="C1356" s="206"/>
      <c r="D1356" s="144">
        <v>0</v>
      </c>
      <c r="E1356" s="149" t="s">
        <v>296</v>
      </c>
    </row>
    <row r="1357" spans="1:6" x14ac:dyDescent="0.2">
      <c r="A1357" s="105"/>
      <c r="B1357" s="206" t="s">
        <v>269</v>
      </c>
      <c r="C1357" s="206"/>
      <c r="D1357" s="144">
        <v>0</v>
      </c>
      <c r="E1357" s="149" t="s">
        <v>294</v>
      </c>
    </row>
    <row r="1358" spans="1:6" x14ac:dyDescent="0.2">
      <c r="A1358" s="105"/>
      <c r="B1358" s="206" t="s">
        <v>270</v>
      </c>
      <c r="C1358" s="206"/>
      <c r="D1358" s="144">
        <v>0</v>
      </c>
      <c r="E1358" s="145" t="s">
        <v>360</v>
      </c>
    </row>
    <row r="1359" spans="1:6" x14ac:dyDescent="0.2">
      <c r="A1359" s="105"/>
      <c r="B1359" s="195" t="s">
        <v>268</v>
      </c>
      <c r="C1359" s="196"/>
      <c r="D1359" s="144">
        <v>0</v>
      </c>
      <c r="E1359" s="149" t="s">
        <v>297</v>
      </c>
    </row>
    <row r="1360" spans="1:6" x14ac:dyDescent="0.2">
      <c r="A1360" s="105"/>
      <c r="B1360" s="197" t="s">
        <v>365</v>
      </c>
      <c r="C1360" s="198"/>
      <c r="D1360" s="144">
        <v>1</v>
      </c>
      <c r="E1360" s="145" t="s">
        <v>426</v>
      </c>
      <c r="F1360" s="105"/>
    </row>
    <row r="1361" spans="1:6" ht="13.5" thickBot="1" x14ac:dyDescent="0.25">
      <c r="A1361" s="105"/>
      <c r="B1361" s="195" t="s">
        <v>366</v>
      </c>
      <c r="C1361" s="196"/>
      <c r="D1361" s="144">
        <v>2</v>
      </c>
      <c r="E1361" s="145" t="s">
        <v>427</v>
      </c>
      <c r="F1361" s="105"/>
    </row>
    <row r="1362" spans="1:6" ht="27" customHeight="1" thickBot="1" x14ac:dyDescent="0.25">
      <c r="A1362" s="105"/>
      <c r="B1362" s="199" t="s">
        <v>414</v>
      </c>
      <c r="C1362" s="200"/>
      <c r="D1362" s="200"/>
      <c r="E1362" s="201"/>
    </row>
    <row r="1363" spans="1:6" x14ac:dyDescent="0.2">
      <c r="A1363" s="105"/>
      <c r="B1363" s="135" t="s">
        <v>18</v>
      </c>
      <c r="C1363" s="105"/>
      <c r="D1363" s="140"/>
      <c r="E1363" s="134"/>
    </row>
    <row r="1364" spans="1:6" x14ac:dyDescent="0.2">
      <c r="A1364" s="105"/>
      <c r="B1364" s="146"/>
      <c r="C1364" s="193" t="s">
        <v>24</v>
      </c>
      <c r="D1364" s="193"/>
      <c r="E1364" s="193"/>
    </row>
    <row r="1365" spans="1:6" x14ac:dyDescent="0.2">
      <c r="A1365" s="105"/>
      <c r="B1365" s="135" t="s">
        <v>19</v>
      </c>
      <c r="C1365" s="150"/>
      <c r="D1365" s="150"/>
      <c r="E1365" s="147"/>
    </row>
    <row r="1366" spans="1:6" x14ac:dyDescent="0.2">
      <c r="A1366" s="105"/>
      <c r="B1366" s="146"/>
      <c r="C1366" s="193" t="s">
        <v>101</v>
      </c>
      <c r="D1366" s="193"/>
      <c r="E1366" s="193"/>
    </row>
    <row r="1367" spans="1:6" x14ac:dyDescent="0.2">
      <c r="A1367" s="105"/>
      <c r="B1367" s="135" t="s">
        <v>20</v>
      </c>
      <c r="C1367" s="105"/>
      <c r="D1367" s="140"/>
      <c r="E1367" s="134"/>
    </row>
    <row r="1368" spans="1:6" x14ac:dyDescent="0.2">
      <c r="A1368" s="105"/>
      <c r="B1368" s="135"/>
      <c r="C1368" s="194" t="s">
        <v>25</v>
      </c>
      <c r="D1368" s="194"/>
      <c r="E1368" s="194"/>
    </row>
    <row r="1369" spans="1:6" ht="13.5" thickBot="1" x14ac:dyDescent="0.25">
      <c r="A1369" s="105"/>
      <c r="B1369" s="136"/>
      <c r="C1369" s="137"/>
      <c r="D1369" s="138"/>
      <c r="E1369" s="139"/>
    </row>
    <row r="1370" spans="1:6" x14ac:dyDescent="0.2">
      <c r="A1370" s="105"/>
      <c r="B1370" s="105"/>
      <c r="C1370" s="105"/>
      <c r="D1370" s="140"/>
      <c r="E1370" s="105"/>
    </row>
    <row r="1371" spans="1:6" ht="13.5" thickBot="1" x14ac:dyDescent="0.25">
      <c r="A1371" s="105"/>
      <c r="B1371" s="105"/>
      <c r="C1371" s="105"/>
      <c r="D1371" s="140"/>
      <c r="E1371" s="105"/>
    </row>
    <row r="1372" spans="1:6" x14ac:dyDescent="0.2">
      <c r="A1372" s="105"/>
      <c r="B1372" s="130" t="s">
        <v>291</v>
      </c>
      <c r="C1372" s="131"/>
      <c r="D1372" s="132"/>
      <c r="E1372" s="133"/>
    </row>
    <row r="1373" spans="1:6" x14ac:dyDescent="0.2">
      <c r="A1373" s="105"/>
      <c r="B1373" s="141"/>
      <c r="C1373" s="105"/>
      <c r="D1373" s="140"/>
      <c r="E1373" s="134"/>
    </row>
    <row r="1374" spans="1:6" x14ac:dyDescent="0.2">
      <c r="A1374" s="105"/>
      <c r="B1374" s="135" t="s">
        <v>16</v>
      </c>
      <c r="C1374" s="105"/>
      <c r="D1374" s="140"/>
      <c r="E1374" s="134"/>
    </row>
    <row r="1375" spans="1:6" x14ac:dyDescent="0.2">
      <c r="A1375" s="105"/>
      <c r="B1375" s="135"/>
      <c r="C1375" s="207" t="s">
        <v>458</v>
      </c>
      <c r="D1375" s="207"/>
      <c r="E1375" s="207"/>
    </row>
    <row r="1376" spans="1:6" ht="13.5" thickBot="1" x14ac:dyDescent="0.25">
      <c r="A1376" s="105"/>
      <c r="B1376" s="135" t="s">
        <v>17</v>
      </c>
      <c r="C1376" s="105"/>
      <c r="D1376" s="140"/>
      <c r="E1376" s="134"/>
    </row>
    <row r="1377" spans="1:6" ht="13.5" thickBot="1" x14ac:dyDescent="0.25">
      <c r="A1377" s="105"/>
      <c r="B1377" s="202" t="s">
        <v>98</v>
      </c>
      <c r="C1377" s="203"/>
      <c r="D1377" s="203"/>
      <c r="E1377" s="204"/>
    </row>
    <row r="1378" spans="1:6" ht="13.5" thickBot="1" x14ac:dyDescent="0.25">
      <c r="A1378" s="105"/>
      <c r="B1378" s="202" t="s">
        <v>264</v>
      </c>
      <c r="C1378" s="204"/>
      <c r="D1378" s="142" t="s">
        <v>11</v>
      </c>
      <c r="E1378" s="142" t="s">
        <v>100</v>
      </c>
    </row>
    <row r="1379" spans="1:6" x14ac:dyDescent="0.2">
      <c r="A1379" s="105"/>
      <c r="B1379" s="205" t="s">
        <v>265</v>
      </c>
      <c r="C1379" s="205"/>
      <c r="D1379" s="143">
        <v>0</v>
      </c>
      <c r="E1379" s="148" t="s">
        <v>293</v>
      </c>
    </row>
    <row r="1380" spans="1:6" x14ac:dyDescent="0.2">
      <c r="A1380" s="105"/>
      <c r="B1380" s="206" t="s">
        <v>266</v>
      </c>
      <c r="C1380" s="206"/>
      <c r="D1380" s="144">
        <v>0</v>
      </c>
      <c r="E1380" s="149" t="s">
        <v>295</v>
      </c>
    </row>
    <row r="1381" spans="1:6" x14ac:dyDescent="0.2">
      <c r="A1381" s="105"/>
      <c r="B1381" s="206" t="s">
        <v>267</v>
      </c>
      <c r="C1381" s="206"/>
      <c r="D1381" s="144">
        <v>0</v>
      </c>
      <c r="E1381" s="149" t="s">
        <v>296</v>
      </c>
    </row>
    <row r="1382" spans="1:6" x14ac:dyDescent="0.2">
      <c r="A1382" s="105"/>
      <c r="B1382" s="206" t="s">
        <v>269</v>
      </c>
      <c r="C1382" s="206"/>
      <c r="D1382" s="144">
        <v>0</v>
      </c>
      <c r="E1382" s="149" t="s">
        <v>294</v>
      </c>
    </row>
    <row r="1383" spans="1:6" x14ac:dyDescent="0.2">
      <c r="A1383" s="105"/>
      <c r="B1383" s="206" t="s">
        <v>270</v>
      </c>
      <c r="C1383" s="206"/>
      <c r="D1383" s="144">
        <v>0</v>
      </c>
      <c r="E1383" s="145" t="s">
        <v>360</v>
      </c>
    </row>
    <row r="1384" spans="1:6" x14ac:dyDescent="0.2">
      <c r="A1384" s="105"/>
      <c r="B1384" s="195" t="s">
        <v>268</v>
      </c>
      <c r="C1384" s="196"/>
      <c r="D1384" s="144">
        <v>0</v>
      </c>
      <c r="E1384" s="149" t="s">
        <v>297</v>
      </c>
    </row>
    <row r="1385" spans="1:6" x14ac:dyDescent="0.2">
      <c r="A1385" s="105"/>
      <c r="B1385" s="197" t="s">
        <v>365</v>
      </c>
      <c r="C1385" s="198"/>
      <c r="D1385" s="144">
        <v>0</v>
      </c>
      <c r="E1385" s="145" t="s">
        <v>426</v>
      </c>
      <c r="F1385" s="105"/>
    </row>
    <row r="1386" spans="1:6" ht="13.5" thickBot="1" x14ac:dyDescent="0.25">
      <c r="A1386" s="105"/>
      <c r="B1386" s="195" t="s">
        <v>366</v>
      </c>
      <c r="C1386" s="196"/>
      <c r="D1386" s="144">
        <v>3</v>
      </c>
      <c r="E1386" s="145" t="s">
        <v>427</v>
      </c>
      <c r="F1386" s="105"/>
    </row>
    <row r="1387" spans="1:6" ht="27" customHeight="1" thickBot="1" x14ac:dyDescent="0.25">
      <c r="A1387" s="105"/>
      <c r="B1387" s="199" t="s">
        <v>414</v>
      </c>
      <c r="C1387" s="200"/>
      <c r="D1387" s="200"/>
      <c r="E1387" s="201"/>
    </row>
    <row r="1388" spans="1:6" x14ac:dyDescent="0.2">
      <c r="A1388" s="105"/>
      <c r="B1388" s="135" t="s">
        <v>18</v>
      </c>
      <c r="C1388" s="105"/>
      <c r="D1388" s="140"/>
      <c r="E1388" s="134"/>
    </row>
    <row r="1389" spans="1:6" x14ac:dyDescent="0.2">
      <c r="A1389" s="105"/>
      <c r="B1389" s="146"/>
      <c r="C1389" s="193" t="s">
        <v>24</v>
      </c>
      <c r="D1389" s="193"/>
      <c r="E1389" s="193"/>
    </row>
    <row r="1390" spans="1:6" x14ac:dyDescent="0.2">
      <c r="A1390" s="105"/>
      <c r="B1390" s="135" t="s">
        <v>19</v>
      </c>
      <c r="C1390" s="150"/>
      <c r="D1390" s="150"/>
      <c r="E1390" s="147"/>
    </row>
    <row r="1391" spans="1:6" x14ac:dyDescent="0.2">
      <c r="A1391" s="105"/>
      <c r="B1391" s="146"/>
      <c r="C1391" s="193" t="s">
        <v>101</v>
      </c>
      <c r="D1391" s="193"/>
      <c r="E1391" s="193"/>
    </row>
    <row r="1392" spans="1:6" x14ac:dyDescent="0.2">
      <c r="A1392" s="105"/>
      <c r="B1392" s="135" t="s">
        <v>20</v>
      </c>
      <c r="C1392" s="105"/>
      <c r="D1392" s="140"/>
      <c r="E1392" s="134"/>
    </row>
    <row r="1393" spans="1:5" x14ac:dyDescent="0.2">
      <c r="A1393" s="105"/>
      <c r="B1393" s="135"/>
      <c r="C1393" s="194" t="s">
        <v>25</v>
      </c>
      <c r="D1393" s="194"/>
      <c r="E1393" s="194"/>
    </row>
    <row r="1394" spans="1:5" ht="13.5" thickBot="1" x14ac:dyDescent="0.25">
      <c r="A1394" s="105"/>
      <c r="B1394" s="136"/>
      <c r="C1394" s="137"/>
      <c r="D1394" s="138"/>
      <c r="E1394" s="139"/>
    </row>
    <row r="1395" spans="1:5" ht="13.5" thickBot="1" x14ac:dyDescent="0.25">
      <c r="A1395" s="105"/>
      <c r="B1395" s="105"/>
      <c r="C1395" s="105"/>
      <c r="D1395" s="140"/>
      <c r="E1395" s="105"/>
    </row>
    <row r="1396" spans="1:5" x14ac:dyDescent="0.2">
      <c r="A1396" s="105"/>
      <c r="B1396" s="130" t="s">
        <v>292</v>
      </c>
      <c r="C1396" s="131"/>
      <c r="D1396" s="132"/>
      <c r="E1396" s="133"/>
    </row>
    <row r="1397" spans="1:5" x14ac:dyDescent="0.2">
      <c r="A1397" s="105"/>
      <c r="B1397" s="141"/>
      <c r="C1397" s="105"/>
      <c r="D1397" s="140"/>
      <c r="E1397" s="134"/>
    </row>
    <row r="1398" spans="1:5" x14ac:dyDescent="0.2">
      <c r="A1398" s="105"/>
      <c r="B1398" s="135" t="s">
        <v>16</v>
      </c>
      <c r="C1398" s="210"/>
      <c r="D1398" s="210"/>
      <c r="E1398" s="211"/>
    </row>
    <row r="1399" spans="1:5" x14ac:dyDescent="0.2">
      <c r="A1399" s="105"/>
      <c r="B1399" s="135"/>
      <c r="C1399" s="193"/>
      <c r="D1399" s="193"/>
      <c r="E1399" s="193"/>
    </row>
    <row r="1400" spans="1:5" ht="13.5" thickBot="1" x14ac:dyDescent="0.25">
      <c r="A1400" s="105"/>
      <c r="B1400" s="135" t="s">
        <v>17</v>
      </c>
      <c r="C1400" s="105"/>
      <c r="D1400" s="140"/>
      <c r="E1400" s="134"/>
    </row>
    <row r="1401" spans="1:5" ht="13.5" thickBot="1" x14ac:dyDescent="0.25">
      <c r="A1401" s="105"/>
      <c r="B1401" s="202" t="s">
        <v>98</v>
      </c>
      <c r="C1401" s="203"/>
      <c r="D1401" s="203"/>
      <c r="E1401" s="204"/>
    </row>
    <row r="1402" spans="1:5" ht="13.5" thickBot="1" x14ac:dyDescent="0.25">
      <c r="A1402" s="105"/>
      <c r="B1402" s="202" t="s">
        <v>264</v>
      </c>
      <c r="C1402" s="204"/>
      <c r="D1402" s="142" t="s">
        <v>11</v>
      </c>
      <c r="E1402" s="142" t="s">
        <v>100</v>
      </c>
    </row>
    <row r="1403" spans="1:5" x14ac:dyDescent="0.2">
      <c r="A1403" s="105"/>
      <c r="B1403" s="205" t="s">
        <v>265</v>
      </c>
      <c r="C1403" s="205"/>
      <c r="D1403" s="143">
        <v>0</v>
      </c>
      <c r="E1403" s="148" t="s">
        <v>293</v>
      </c>
    </row>
    <row r="1404" spans="1:5" x14ac:dyDescent="0.2">
      <c r="A1404" s="105"/>
      <c r="B1404" s="206" t="s">
        <v>266</v>
      </c>
      <c r="C1404" s="206"/>
      <c r="D1404" s="144">
        <v>0</v>
      </c>
      <c r="E1404" s="149" t="s">
        <v>295</v>
      </c>
    </row>
    <row r="1405" spans="1:5" x14ac:dyDescent="0.2">
      <c r="A1405" s="105"/>
      <c r="B1405" s="206" t="s">
        <v>267</v>
      </c>
      <c r="C1405" s="206"/>
      <c r="D1405" s="144">
        <v>0</v>
      </c>
      <c r="E1405" s="149" t="s">
        <v>296</v>
      </c>
    </row>
    <row r="1406" spans="1:5" x14ac:dyDescent="0.2">
      <c r="A1406" s="105"/>
      <c r="B1406" s="206" t="s">
        <v>269</v>
      </c>
      <c r="C1406" s="206"/>
      <c r="D1406" s="144">
        <v>0</v>
      </c>
      <c r="E1406" s="149" t="s">
        <v>294</v>
      </c>
    </row>
    <row r="1407" spans="1:5" x14ac:dyDescent="0.2">
      <c r="A1407" s="105"/>
      <c r="B1407" s="206" t="s">
        <v>270</v>
      </c>
      <c r="C1407" s="206"/>
      <c r="D1407" s="144">
        <v>0</v>
      </c>
      <c r="E1407" s="145" t="s">
        <v>360</v>
      </c>
    </row>
    <row r="1408" spans="1:5" x14ac:dyDescent="0.2">
      <c r="A1408" s="105"/>
      <c r="B1408" s="195" t="s">
        <v>268</v>
      </c>
      <c r="C1408" s="196"/>
      <c r="D1408" s="144">
        <v>0</v>
      </c>
      <c r="E1408" s="149" t="s">
        <v>297</v>
      </c>
    </row>
    <row r="1409" spans="1:6" x14ac:dyDescent="0.2">
      <c r="A1409" s="105"/>
      <c r="B1409" s="197" t="s">
        <v>365</v>
      </c>
      <c r="C1409" s="198"/>
      <c r="D1409" s="144">
        <v>1</v>
      </c>
      <c r="E1409" s="145" t="s">
        <v>426</v>
      </c>
      <c r="F1409" s="105"/>
    </row>
    <row r="1410" spans="1:6" ht="13.5" thickBot="1" x14ac:dyDescent="0.25">
      <c r="A1410" s="105"/>
      <c r="B1410" s="195" t="s">
        <v>366</v>
      </c>
      <c r="C1410" s="196"/>
      <c r="D1410" s="144">
        <v>0</v>
      </c>
      <c r="E1410" s="145" t="s">
        <v>427</v>
      </c>
      <c r="F1410" s="105"/>
    </row>
    <row r="1411" spans="1:6" ht="27" customHeight="1" thickBot="1" x14ac:dyDescent="0.25">
      <c r="A1411" s="105"/>
      <c r="B1411" s="199" t="s">
        <v>423</v>
      </c>
      <c r="C1411" s="200"/>
      <c r="D1411" s="200"/>
      <c r="E1411" s="201"/>
    </row>
    <row r="1412" spans="1:6" x14ac:dyDescent="0.2">
      <c r="A1412" s="105"/>
      <c r="B1412" s="135" t="s">
        <v>18</v>
      </c>
      <c r="C1412" s="105"/>
      <c r="D1412" s="140"/>
      <c r="E1412" s="134"/>
    </row>
    <row r="1413" spans="1:6" x14ac:dyDescent="0.2">
      <c r="A1413" s="105"/>
      <c r="B1413" s="146"/>
      <c r="C1413" s="193" t="s">
        <v>24</v>
      </c>
      <c r="D1413" s="193"/>
      <c r="E1413" s="193"/>
    </row>
    <row r="1414" spans="1:6" x14ac:dyDescent="0.2">
      <c r="A1414" s="105"/>
      <c r="B1414" s="135" t="s">
        <v>19</v>
      </c>
      <c r="C1414" s="150"/>
      <c r="D1414" s="150"/>
      <c r="E1414" s="147"/>
    </row>
    <row r="1415" spans="1:6" x14ac:dyDescent="0.2">
      <c r="A1415" s="105"/>
      <c r="B1415" s="146"/>
      <c r="C1415" s="193" t="s">
        <v>101</v>
      </c>
      <c r="D1415" s="193"/>
      <c r="E1415" s="193"/>
    </row>
    <row r="1416" spans="1:6" x14ac:dyDescent="0.2">
      <c r="A1416" s="105"/>
      <c r="B1416" s="135" t="s">
        <v>20</v>
      </c>
      <c r="C1416" s="105"/>
      <c r="D1416" s="140"/>
      <c r="E1416" s="134"/>
    </row>
    <row r="1417" spans="1:6" x14ac:dyDescent="0.2">
      <c r="A1417" s="105"/>
      <c r="B1417" s="135"/>
      <c r="C1417" s="194" t="s">
        <v>25</v>
      </c>
      <c r="D1417" s="194"/>
      <c r="E1417" s="194"/>
    </row>
    <row r="1418" spans="1:6" ht="13.5" thickBot="1" x14ac:dyDescent="0.25">
      <c r="A1418" s="105"/>
      <c r="B1418" s="136"/>
      <c r="C1418" s="137"/>
      <c r="D1418" s="138"/>
      <c r="E1418" s="139"/>
    </row>
    <row r="1419" spans="1:6" x14ac:dyDescent="0.2">
      <c r="A1419" s="105"/>
      <c r="B1419" s="105"/>
      <c r="C1419" s="105"/>
      <c r="D1419" s="140"/>
      <c r="E1419" s="105"/>
    </row>
    <row r="1420" spans="1:6" x14ac:dyDescent="0.2">
      <c r="A1420" s="105"/>
      <c r="B1420" s="105"/>
      <c r="C1420" s="105"/>
      <c r="D1420" s="140"/>
      <c r="E1420" s="105"/>
    </row>
    <row r="1421" spans="1:6" x14ac:dyDescent="0.2">
      <c r="A1421" s="105"/>
      <c r="B1421" s="105"/>
      <c r="C1421" s="105"/>
      <c r="D1421" s="140"/>
      <c r="E1421" s="105"/>
    </row>
    <row r="1422" spans="1:6" x14ac:dyDescent="0.2">
      <c r="A1422" s="105"/>
      <c r="B1422" s="105"/>
      <c r="C1422" s="105"/>
      <c r="D1422" s="140"/>
      <c r="E1422" s="105"/>
    </row>
    <row r="1423" spans="1:6" x14ac:dyDescent="0.2">
      <c r="A1423" s="105"/>
      <c r="B1423" s="105"/>
      <c r="C1423" s="105"/>
      <c r="D1423" s="140"/>
      <c r="E1423" s="105"/>
    </row>
    <row r="1424" spans="1:6" x14ac:dyDescent="0.2">
      <c r="A1424" s="105"/>
      <c r="B1424" s="105"/>
      <c r="C1424" s="105"/>
      <c r="D1424" s="140"/>
      <c r="E1424" s="105"/>
    </row>
    <row r="1425" spans="1:5" x14ac:dyDescent="0.2">
      <c r="A1425" s="105"/>
      <c r="B1425" s="105"/>
      <c r="C1425" s="105"/>
      <c r="D1425" s="140"/>
      <c r="E1425" s="105"/>
    </row>
    <row r="1426" spans="1:5" x14ac:dyDescent="0.2">
      <c r="A1426" s="105"/>
      <c r="B1426" s="105"/>
      <c r="C1426" s="105"/>
      <c r="D1426" s="140"/>
      <c r="E1426" s="105"/>
    </row>
    <row r="1427" spans="1:5" x14ac:dyDescent="0.2">
      <c r="A1427" s="105"/>
      <c r="B1427" s="105"/>
      <c r="C1427" s="105"/>
      <c r="D1427" s="140"/>
      <c r="E1427" s="105"/>
    </row>
    <row r="1428" spans="1:5" x14ac:dyDescent="0.2">
      <c r="A1428" s="105"/>
      <c r="B1428" s="105"/>
      <c r="C1428" s="105"/>
      <c r="D1428" s="140"/>
      <c r="E1428" s="105"/>
    </row>
    <row r="1429" spans="1:5" x14ac:dyDescent="0.2">
      <c r="A1429" s="105"/>
      <c r="B1429" s="105"/>
      <c r="C1429" s="105"/>
      <c r="D1429" s="140"/>
      <c r="E1429" s="105"/>
    </row>
    <row r="1430" spans="1:5" x14ac:dyDescent="0.2">
      <c r="A1430" s="105"/>
      <c r="B1430" s="105"/>
      <c r="C1430" s="105"/>
      <c r="D1430" s="140"/>
      <c r="E1430" s="105"/>
    </row>
    <row r="1431" spans="1:5" x14ac:dyDescent="0.2">
      <c r="A1431" s="105"/>
      <c r="B1431" s="105"/>
      <c r="C1431" s="105"/>
      <c r="D1431" s="140"/>
      <c r="E1431" s="105"/>
    </row>
    <row r="1432" spans="1:5" x14ac:dyDescent="0.2">
      <c r="A1432" s="105"/>
      <c r="B1432" s="105"/>
      <c r="C1432" s="105"/>
      <c r="D1432" s="140"/>
      <c r="E1432" s="105"/>
    </row>
    <row r="1433" spans="1:5" x14ac:dyDescent="0.2">
      <c r="A1433" s="105"/>
      <c r="B1433" s="105"/>
      <c r="C1433" s="105"/>
      <c r="D1433" s="140"/>
      <c r="E1433" s="105"/>
    </row>
    <row r="1434" spans="1:5" x14ac:dyDescent="0.2">
      <c r="A1434" s="105"/>
      <c r="B1434" s="105"/>
      <c r="C1434" s="105"/>
      <c r="D1434" s="140"/>
      <c r="E1434" s="105"/>
    </row>
    <row r="1435" spans="1:5" x14ac:dyDescent="0.2">
      <c r="A1435" s="105"/>
      <c r="B1435" s="105"/>
      <c r="C1435" s="105"/>
      <c r="D1435" s="140"/>
      <c r="E1435" s="105"/>
    </row>
    <row r="1436" spans="1:5" x14ac:dyDescent="0.2">
      <c r="A1436" s="105"/>
      <c r="B1436" s="105"/>
      <c r="C1436" s="105"/>
      <c r="D1436" s="140"/>
      <c r="E1436" s="105"/>
    </row>
    <row r="1437" spans="1:5" x14ac:dyDescent="0.2">
      <c r="A1437" s="105"/>
      <c r="B1437" s="105"/>
      <c r="C1437" s="105"/>
      <c r="D1437" s="140"/>
      <c r="E1437" s="105"/>
    </row>
    <row r="1438" spans="1:5" x14ac:dyDescent="0.2">
      <c r="A1438" s="105"/>
      <c r="B1438" s="105"/>
      <c r="C1438" s="105"/>
      <c r="D1438" s="140"/>
      <c r="E1438" s="105"/>
    </row>
    <row r="1439" spans="1:5" x14ac:dyDescent="0.2">
      <c r="A1439" s="105"/>
      <c r="B1439" s="105"/>
      <c r="C1439" s="105"/>
      <c r="D1439" s="140"/>
      <c r="E1439" s="105"/>
    </row>
    <row r="1440" spans="1:5" x14ac:dyDescent="0.2">
      <c r="A1440" s="105"/>
      <c r="B1440" s="105"/>
      <c r="C1440" s="105"/>
      <c r="D1440" s="140"/>
      <c r="E1440" s="105"/>
    </row>
    <row r="1441" spans="1:5" x14ac:dyDescent="0.2">
      <c r="A1441" s="105"/>
      <c r="B1441" s="105"/>
      <c r="C1441" s="105"/>
      <c r="D1441" s="140"/>
      <c r="E1441" s="105"/>
    </row>
    <row r="1442" spans="1:5" x14ac:dyDescent="0.2">
      <c r="A1442" s="105"/>
      <c r="B1442" s="105"/>
      <c r="C1442" s="105"/>
      <c r="D1442" s="140"/>
      <c r="E1442" s="105"/>
    </row>
    <row r="1443" spans="1:5" x14ac:dyDescent="0.2">
      <c r="A1443" s="105"/>
      <c r="B1443" s="105"/>
      <c r="C1443" s="105"/>
      <c r="D1443" s="140"/>
      <c r="E1443" s="105"/>
    </row>
    <row r="1444" spans="1:5" x14ac:dyDescent="0.2">
      <c r="A1444" s="105"/>
      <c r="B1444" s="105"/>
      <c r="C1444" s="105"/>
      <c r="D1444" s="140"/>
      <c r="E1444" s="105"/>
    </row>
    <row r="1445" spans="1:5" x14ac:dyDescent="0.2">
      <c r="A1445" s="105"/>
      <c r="B1445" s="105"/>
      <c r="C1445" s="105"/>
      <c r="D1445" s="140"/>
      <c r="E1445" s="105"/>
    </row>
    <row r="1446" spans="1:5" x14ac:dyDescent="0.2">
      <c r="A1446" s="105"/>
      <c r="B1446" s="105"/>
      <c r="C1446" s="105"/>
      <c r="D1446" s="140"/>
      <c r="E1446" s="105"/>
    </row>
    <row r="1447" spans="1:5" x14ac:dyDescent="0.2">
      <c r="A1447" s="105"/>
      <c r="B1447" s="105"/>
      <c r="C1447" s="105"/>
      <c r="D1447" s="140"/>
      <c r="E1447" s="105"/>
    </row>
    <row r="1448" spans="1:5" x14ac:dyDescent="0.2">
      <c r="A1448" s="105"/>
      <c r="B1448" s="105"/>
      <c r="C1448" s="105"/>
      <c r="D1448" s="140"/>
      <c r="E1448" s="105"/>
    </row>
    <row r="1449" spans="1:5" x14ac:dyDescent="0.2">
      <c r="A1449" s="105"/>
      <c r="B1449" s="105"/>
      <c r="C1449" s="105"/>
      <c r="D1449" s="140"/>
      <c r="E1449" s="105"/>
    </row>
    <row r="1450" spans="1:5" x14ac:dyDescent="0.2">
      <c r="A1450" s="105"/>
      <c r="B1450" s="105"/>
      <c r="C1450" s="105"/>
      <c r="D1450" s="140"/>
      <c r="E1450" s="105"/>
    </row>
    <row r="1451" spans="1:5" x14ac:dyDescent="0.2">
      <c r="A1451" s="105"/>
      <c r="B1451" s="105"/>
      <c r="C1451" s="105"/>
      <c r="D1451" s="140"/>
      <c r="E1451" s="105"/>
    </row>
    <row r="1452" spans="1:5" x14ac:dyDescent="0.2">
      <c r="A1452" s="105"/>
      <c r="B1452" s="105"/>
      <c r="C1452" s="105"/>
      <c r="D1452" s="140"/>
      <c r="E1452" s="105"/>
    </row>
    <row r="1453" spans="1:5" x14ac:dyDescent="0.2">
      <c r="A1453" s="105"/>
      <c r="B1453" s="105"/>
      <c r="C1453" s="105"/>
      <c r="D1453" s="140"/>
      <c r="E1453" s="105"/>
    </row>
    <row r="1454" spans="1:5" x14ac:dyDescent="0.2">
      <c r="A1454" s="105"/>
      <c r="B1454" s="105"/>
      <c r="C1454" s="105"/>
      <c r="D1454" s="140"/>
      <c r="E1454" s="105"/>
    </row>
    <row r="1455" spans="1:5" x14ac:dyDescent="0.2">
      <c r="A1455" s="105"/>
      <c r="B1455" s="105"/>
      <c r="C1455" s="105"/>
      <c r="D1455" s="140"/>
      <c r="E1455" s="105"/>
    </row>
    <row r="1456" spans="1:5" x14ac:dyDescent="0.2">
      <c r="A1456" s="105"/>
      <c r="B1456" s="105"/>
      <c r="C1456" s="105"/>
      <c r="D1456" s="140"/>
      <c r="E1456" s="105"/>
    </row>
    <row r="1457" spans="1:5" x14ac:dyDescent="0.2">
      <c r="A1457" s="105"/>
      <c r="B1457" s="105"/>
      <c r="C1457" s="105"/>
      <c r="D1457" s="140"/>
      <c r="E1457" s="105"/>
    </row>
    <row r="1458" spans="1:5" x14ac:dyDescent="0.2">
      <c r="A1458" s="105"/>
      <c r="B1458" s="105"/>
      <c r="C1458" s="105"/>
      <c r="D1458" s="140"/>
      <c r="E1458" s="105"/>
    </row>
    <row r="1459" spans="1:5" x14ac:dyDescent="0.2">
      <c r="A1459" s="105"/>
      <c r="B1459" s="105"/>
      <c r="C1459" s="105"/>
      <c r="D1459" s="140"/>
      <c r="E1459" s="105"/>
    </row>
    <row r="1460" spans="1:5" x14ac:dyDescent="0.2">
      <c r="A1460" s="105"/>
      <c r="B1460" s="105"/>
      <c r="C1460" s="105"/>
      <c r="D1460" s="140"/>
      <c r="E1460" s="105"/>
    </row>
    <row r="1461" spans="1:5" x14ac:dyDescent="0.2">
      <c r="A1461" s="105"/>
      <c r="B1461" s="105"/>
      <c r="C1461" s="105"/>
      <c r="D1461" s="140"/>
      <c r="E1461" s="105"/>
    </row>
    <row r="1462" spans="1:5" x14ac:dyDescent="0.2">
      <c r="A1462" s="105"/>
      <c r="B1462" s="105"/>
      <c r="C1462" s="105"/>
      <c r="D1462" s="140"/>
      <c r="E1462" s="105"/>
    </row>
    <row r="1463" spans="1:5" x14ac:dyDescent="0.2">
      <c r="A1463" s="105"/>
      <c r="B1463" s="105"/>
      <c r="C1463" s="105"/>
      <c r="D1463" s="140"/>
      <c r="E1463" s="105"/>
    </row>
    <row r="1464" spans="1:5" x14ac:dyDescent="0.2">
      <c r="A1464" s="105"/>
      <c r="B1464" s="105"/>
      <c r="C1464" s="105"/>
      <c r="D1464" s="140"/>
      <c r="E1464" s="105"/>
    </row>
    <row r="1465" spans="1:5" x14ac:dyDescent="0.2">
      <c r="A1465" s="105"/>
      <c r="B1465" s="105"/>
      <c r="C1465" s="105"/>
      <c r="D1465" s="140"/>
      <c r="E1465" s="105"/>
    </row>
    <row r="1466" spans="1:5" x14ac:dyDescent="0.2">
      <c r="A1466" s="105"/>
      <c r="B1466" s="105"/>
      <c r="C1466" s="105"/>
      <c r="D1466" s="140"/>
      <c r="E1466" s="105"/>
    </row>
    <row r="1467" spans="1:5" x14ac:dyDescent="0.2">
      <c r="A1467" s="105"/>
      <c r="B1467" s="105"/>
      <c r="C1467" s="105"/>
      <c r="D1467" s="140"/>
      <c r="E1467" s="105"/>
    </row>
    <row r="1468" spans="1:5" x14ac:dyDescent="0.2">
      <c r="A1468" s="105"/>
      <c r="B1468" s="105"/>
      <c r="C1468" s="105"/>
      <c r="D1468" s="140"/>
      <c r="E1468" s="105"/>
    </row>
    <row r="1469" spans="1:5" x14ac:dyDescent="0.2">
      <c r="A1469" s="105"/>
      <c r="B1469" s="105"/>
      <c r="C1469" s="105"/>
      <c r="D1469" s="140"/>
      <c r="E1469" s="105"/>
    </row>
    <row r="1470" spans="1:5" x14ac:dyDescent="0.2">
      <c r="A1470" s="105"/>
      <c r="B1470" s="105"/>
      <c r="C1470" s="105"/>
      <c r="D1470" s="140"/>
      <c r="E1470" s="105"/>
    </row>
    <row r="1471" spans="1:5" x14ac:dyDescent="0.2">
      <c r="A1471" s="105"/>
      <c r="B1471" s="105"/>
      <c r="C1471" s="105"/>
      <c r="D1471" s="140"/>
      <c r="E1471" s="105"/>
    </row>
    <row r="1472" spans="1:5" x14ac:dyDescent="0.2">
      <c r="A1472" s="105"/>
      <c r="B1472" s="105"/>
      <c r="C1472" s="105"/>
      <c r="D1472" s="140"/>
      <c r="E1472" s="105"/>
    </row>
    <row r="1473" spans="1:5" x14ac:dyDescent="0.2">
      <c r="A1473" s="105"/>
      <c r="B1473" s="105"/>
      <c r="C1473" s="105"/>
      <c r="D1473" s="140"/>
      <c r="E1473" s="105"/>
    </row>
    <row r="1474" spans="1:5" x14ac:dyDescent="0.2">
      <c r="A1474" s="105"/>
      <c r="B1474" s="105"/>
      <c r="C1474" s="105"/>
      <c r="D1474" s="140"/>
      <c r="E1474" s="105"/>
    </row>
    <row r="1475" spans="1:5" x14ac:dyDescent="0.2">
      <c r="A1475" s="105"/>
      <c r="B1475" s="105"/>
      <c r="C1475" s="105"/>
      <c r="D1475" s="140"/>
      <c r="E1475" s="105"/>
    </row>
    <row r="1476" spans="1:5" x14ac:dyDescent="0.2">
      <c r="A1476" s="105"/>
      <c r="B1476" s="105"/>
      <c r="C1476" s="105"/>
      <c r="D1476" s="140"/>
      <c r="E1476" s="105"/>
    </row>
    <row r="1477" spans="1:5" x14ac:dyDescent="0.2">
      <c r="A1477" s="105"/>
      <c r="B1477" s="105"/>
      <c r="C1477" s="105"/>
      <c r="D1477" s="140"/>
      <c r="E1477" s="105"/>
    </row>
    <row r="1478" spans="1:5" x14ac:dyDescent="0.2">
      <c r="A1478" s="105"/>
      <c r="B1478" s="105"/>
      <c r="C1478" s="105"/>
      <c r="D1478" s="140"/>
      <c r="E1478" s="105"/>
    </row>
    <row r="1479" spans="1:5" x14ac:dyDescent="0.2">
      <c r="A1479" s="105"/>
      <c r="B1479" s="105"/>
      <c r="C1479" s="105"/>
      <c r="D1479" s="140"/>
      <c r="E1479" s="105"/>
    </row>
    <row r="1480" spans="1:5" x14ac:dyDescent="0.2">
      <c r="A1480" s="105"/>
      <c r="B1480" s="105"/>
      <c r="C1480" s="105"/>
      <c r="D1480" s="140"/>
      <c r="E1480" s="105"/>
    </row>
    <row r="1481" spans="1:5" x14ac:dyDescent="0.2">
      <c r="A1481" s="105"/>
      <c r="B1481" s="105"/>
      <c r="C1481" s="105"/>
      <c r="D1481" s="140"/>
      <c r="E1481" s="105"/>
    </row>
    <row r="1482" spans="1:5" x14ac:dyDescent="0.2">
      <c r="A1482" s="105"/>
      <c r="B1482" s="105"/>
      <c r="C1482" s="105"/>
      <c r="D1482" s="140"/>
      <c r="E1482" s="105"/>
    </row>
    <row r="1483" spans="1:5" x14ac:dyDescent="0.2">
      <c r="A1483" s="105"/>
      <c r="B1483" s="105"/>
      <c r="C1483" s="105"/>
      <c r="D1483" s="140"/>
      <c r="E1483" s="105"/>
    </row>
    <row r="1484" spans="1:5" x14ac:dyDescent="0.2">
      <c r="A1484" s="105"/>
      <c r="B1484" s="105"/>
      <c r="C1484" s="105"/>
      <c r="D1484" s="140"/>
      <c r="E1484" s="105"/>
    </row>
    <row r="1485" spans="1:5" x14ac:dyDescent="0.2">
      <c r="A1485" s="105"/>
      <c r="B1485" s="105"/>
      <c r="C1485" s="105"/>
      <c r="D1485" s="140"/>
      <c r="E1485" s="105"/>
    </row>
    <row r="1486" spans="1:5" x14ac:dyDescent="0.2">
      <c r="A1486" s="105"/>
      <c r="B1486" s="105"/>
      <c r="C1486" s="105"/>
      <c r="D1486" s="140"/>
      <c r="E1486" s="105"/>
    </row>
    <row r="1487" spans="1:5" x14ac:dyDescent="0.2">
      <c r="A1487" s="105"/>
      <c r="B1487" s="105"/>
      <c r="C1487" s="105"/>
      <c r="D1487" s="140"/>
      <c r="E1487" s="105"/>
    </row>
    <row r="1488" spans="1:5" x14ac:dyDescent="0.2">
      <c r="A1488" s="105"/>
      <c r="B1488" s="105"/>
      <c r="C1488" s="105"/>
      <c r="D1488" s="140"/>
      <c r="E1488" s="105"/>
    </row>
    <row r="1489" spans="1:5" x14ac:dyDescent="0.2">
      <c r="A1489" s="105"/>
      <c r="B1489" s="105"/>
      <c r="C1489" s="105"/>
      <c r="D1489" s="140"/>
      <c r="E1489" s="105"/>
    </row>
    <row r="1490" spans="1:5" x14ac:dyDescent="0.2">
      <c r="A1490" s="105"/>
      <c r="B1490" s="105"/>
      <c r="C1490" s="105"/>
      <c r="D1490" s="140"/>
      <c r="E1490" s="105"/>
    </row>
    <row r="1491" spans="1:5" x14ac:dyDescent="0.2">
      <c r="A1491" s="105"/>
      <c r="B1491" s="105"/>
      <c r="C1491" s="105"/>
      <c r="D1491" s="140"/>
      <c r="E1491" s="105"/>
    </row>
    <row r="1492" spans="1:5" x14ac:dyDescent="0.2">
      <c r="A1492" s="105"/>
      <c r="B1492" s="105"/>
      <c r="C1492" s="105"/>
      <c r="D1492" s="140"/>
      <c r="E1492" s="105"/>
    </row>
    <row r="1493" spans="1:5" x14ac:dyDescent="0.2">
      <c r="A1493" s="105"/>
      <c r="B1493" s="105"/>
      <c r="C1493" s="105"/>
      <c r="D1493" s="140"/>
      <c r="E1493" s="105"/>
    </row>
    <row r="1494" spans="1:5" x14ac:dyDescent="0.2">
      <c r="A1494" s="105"/>
      <c r="B1494" s="105"/>
      <c r="C1494" s="105"/>
      <c r="D1494" s="140"/>
      <c r="E1494" s="105"/>
    </row>
    <row r="1495" spans="1:5" x14ac:dyDescent="0.2">
      <c r="A1495" s="105"/>
      <c r="B1495" s="105"/>
      <c r="C1495" s="105"/>
      <c r="D1495" s="140"/>
      <c r="E1495" s="105"/>
    </row>
    <row r="1496" spans="1:5" x14ac:dyDescent="0.2">
      <c r="A1496" s="105"/>
      <c r="B1496" s="105"/>
      <c r="C1496" s="105"/>
      <c r="D1496" s="140"/>
      <c r="E1496" s="105"/>
    </row>
    <row r="1497" spans="1:5" x14ac:dyDescent="0.2">
      <c r="A1497" s="105"/>
      <c r="B1497" s="105"/>
      <c r="C1497" s="105"/>
      <c r="D1497" s="140"/>
      <c r="E1497" s="105"/>
    </row>
    <row r="1498" spans="1:5" x14ac:dyDescent="0.2">
      <c r="A1498" s="105"/>
      <c r="B1498" s="105"/>
      <c r="C1498" s="105"/>
      <c r="D1498" s="140"/>
      <c r="E1498" s="105"/>
    </row>
    <row r="1499" spans="1:5" x14ac:dyDescent="0.2">
      <c r="A1499" s="105"/>
      <c r="B1499" s="105"/>
      <c r="C1499" s="105"/>
      <c r="D1499" s="140"/>
      <c r="E1499" s="105"/>
    </row>
    <row r="1500" spans="1:5" x14ac:dyDescent="0.2">
      <c r="A1500" s="105"/>
      <c r="B1500" s="105"/>
      <c r="C1500" s="105"/>
      <c r="D1500" s="140"/>
      <c r="E1500" s="105"/>
    </row>
    <row r="1501" spans="1:5" x14ac:dyDescent="0.2">
      <c r="A1501" s="105"/>
      <c r="B1501" s="105"/>
      <c r="C1501" s="105"/>
      <c r="D1501" s="140"/>
      <c r="E1501" s="105"/>
    </row>
    <row r="1502" spans="1:5" x14ac:dyDescent="0.2">
      <c r="A1502" s="105"/>
      <c r="B1502" s="105"/>
      <c r="C1502" s="105"/>
      <c r="D1502" s="140"/>
      <c r="E1502" s="105"/>
    </row>
    <row r="1503" spans="1:5" x14ac:dyDescent="0.2">
      <c r="A1503" s="105"/>
      <c r="B1503" s="105"/>
      <c r="C1503" s="105"/>
      <c r="D1503" s="140"/>
      <c r="E1503" s="105"/>
    </row>
    <row r="1504" spans="1:5" x14ac:dyDescent="0.2">
      <c r="A1504" s="105"/>
      <c r="B1504" s="105"/>
      <c r="C1504" s="105"/>
      <c r="D1504" s="140"/>
      <c r="E1504" s="105"/>
    </row>
    <row r="1505" spans="1:5" x14ac:dyDescent="0.2">
      <c r="A1505" s="105"/>
      <c r="B1505" s="105"/>
      <c r="C1505" s="105"/>
      <c r="D1505" s="140"/>
      <c r="E1505" s="105"/>
    </row>
    <row r="1506" spans="1:5" x14ac:dyDescent="0.2">
      <c r="A1506" s="105"/>
      <c r="B1506" s="105"/>
      <c r="C1506" s="105"/>
      <c r="D1506" s="140"/>
      <c r="E1506" s="105"/>
    </row>
    <row r="1507" spans="1:5" x14ac:dyDescent="0.2">
      <c r="A1507" s="105"/>
      <c r="B1507" s="105"/>
      <c r="C1507" s="105"/>
      <c r="D1507" s="140"/>
      <c r="E1507" s="105"/>
    </row>
    <row r="1508" spans="1:5" x14ac:dyDescent="0.2">
      <c r="A1508" s="105"/>
      <c r="B1508" s="105"/>
      <c r="C1508" s="105"/>
      <c r="D1508" s="140"/>
      <c r="E1508" s="105"/>
    </row>
    <row r="1509" spans="1:5" x14ac:dyDescent="0.2">
      <c r="A1509" s="105"/>
      <c r="B1509" s="105"/>
      <c r="C1509" s="105"/>
      <c r="D1509" s="140"/>
      <c r="E1509" s="105"/>
    </row>
    <row r="1510" spans="1:5" x14ac:dyDescent="0.2">
      <c r="A1510" s="105"/>
      <c r="B1510" s="105"/>
      <c r="C1510" s="105"/>
      <c r="D1510" s="140"/>
      <c r="E1510" s="105"/>
    </row>
    <row r="1511" spans="1:5" x14ac:dyDescent="0.2">
      <c r="A1511" s="105"/>
      <c r="B1511" s="105"/>
      <c r="C1511" s="105"/>
      <c r="D1511" s="140"/>
      <c r="E1511" s="105"/>
    </row>
    <row r="1512" spans="1:5" x14ac:dyDescent="0.2">
      <c r="A1512" s="105"/>
      <c r="B1512" s="105"/>
      <c r="C1512" s="105"/>
      <c r="D1512" s="140"/>
      <c r="E1512" s="105"/>
    </row>
    <row r="1513" spans="1:5" x14ac:dyDescent="0.2">
      <c r="A1513" s="105"/>
      <c r="B1513" s="105"/>
      <c r="C1513" s="105"/>
      <c r="D1513" s="140"/>
      <c r="E1513" s="105"/>
    </row>
  </sheetData>
  <mergeCells count="881">
    <mergeCell ref="C1179:E1179"/>
    <mergeCell ref="C1301:E1301"/>
    <mergeCell ref="C1325:E1325"/>
    <mergeCell ref="C1349:E1349"/>
    <mergeCell ref="C1398:E1398"/>
    <mergeCell ref="C866:E866"/>
    <mergeCell ref="C890:E890"/>
    <mergeCell ref="C915:E915"/>
    <mergeCell ref="C939:E939"/>
    <mergeCell ref="C963:E963"/>
    <mergeCell ref="C987:E987"/>
    <mergeCell ref="C1083:E1083"/>
    <mergeCell ref="C1107:E1107"/>
    <mergeCell ref="C1131:E1131"/>
    <mergeCell ref="B1162:C1162"/>
    <mergeCell ref="B1163:C1163"/>
    <mergeCell ref="B1164:C1164"/>
    <mergeCell ref="B1165:C1165"/>
    <mergeCell ref="B1166:C1166"/>
    <mergeCell ref="B1167:C1167"/>
    <mergeCell ref="B1168:E1168"/>
    <mergeCell ref="C1170:E1170"/>
    <mergeCell ref="B1095:C1095"/>
    <mergeCell ref="B1096:E1096"/>
    <mergeCell ref="B1110:E1110"/>
    <mergeCell ref="B1111:C1111"/>
    <mergeCell ref="B1112:C1112"/>
    <mergeCell ref="B1113:C1113"/>
    <mergeCell ref="B1114:C1114"/>
    <mergeCell ref="C142:E142"/>
    <mergeCell ref="C190:E190"/>
    <mergeCell ref="C214:E214"/>
    <mergeCell ref="C239:E239"/>
    <mergeCell ref="C263:E263"/>
    <mergeCell ref="C335:E335"/>
    <mergeCell ref="C409:E409"/>
    <mergeCell ref="C505:E505"/>
    <mergeCell ref="C326:E326"/>
    <mergeCell ref="C328:E328"/>
    <mergeCell ref="C330:E330"/>
    <mergeCell ref="C336:E336"/>
    <mergeCell ref="B338:E338"/>
    <mergeCell ref="B339:C339"/>
    <mergeCell ref="B340:C340"/>
    <mergeCell ref="B341:C341"/>
    <mergeCell ref="B342:C342"/>
    <mergeCell ref="B155:E155"/>
    <mergeCell ref="C157:E157"/>
    <mergeCell ref="B1119:C1119"/>
    <mergeCell ref="B343:C343"/>
    <mergeCell ref="B344:C344"/>
    <mergeCell ref="B345:C345"/>
    <mergeCell ref="B348:E348"/>
    <mergeCell ref="C350:E350"/>
    <mergeCell ref="C352:E352"/>
    <mergeCell ref="C354:E354"/>
    <mergeCell ref="B1043:C1043"/>
    <mergeCell ref="B1044:C1044"/>
    <mergeCell ref="B1045:C1045"/>
    <mergeCell ref="B1046:C1046"/>
    <mergeCell ref="B1047:C1047"/>
    <mergeCell ref="B1048:E1048"/>
    <mergeCell ref="C1050:E1050"/>
    <mergeCell ref="C1052:E1052"/>
    <mergeCell ref="C1054:E1054"/>
    <mergeCell ref="C1060:E1060"/>
    <mergeCell ref="B1062:E1062"/>
    <mergeCell ref="B1063:C1063"/>
    <mergeCell ref="C1098:E1098"/>
    <mergeCell ref="C1100:E1100"/>
    <mergeCell ref="C1102:E1102"/>
    <mergeCell ref="C1108:E1108"/>
    <mergeCell ref="C1150:E1150"/>
    <mergeCell ref="C1156:E1156"/>
    <mergeCell ref="B1120:E1120"/>
    <mergeCell ref="B1069:C1069"/>
    <mergeCell ref="B1070:C1070"/>
    <mergeCell ref="B1071:C1071"/>
    <mergeCell ref="B1072:E1072"/>
    <mergeCell ref="C1074:E1074"/>
    <mergeCell ref="C1076:E1076"/>
    <mergeCell ref="C1078:E1078"/>
    <mergeCell ref="C1084:E1084"/>
    <mergeCell ref="B1086:E1086"/>
    <mergeCell ref="B1087:C1087"/>
    <mergeCell ref="B1088:C1088"/>
    <mergeCell ref="B1089:C1089"/>
    <mergeCell ref="B1090:C1090"/>
    <mergeCell ref="B1091:C1091"/>
    <mergeCell ref="B1092:C1092"/>
    <mergeCell ref="B1093:C1093"/>
    <mergeCell ref="B1094:C1094"/>
    <mergeCell ref="B1115:C1115"/>
    <mergeCell ref="B1116:C1116"/>
    <mergeCell ref="B1117:C1117"/>
    <mergeCell ref="B1118:C1118"/>
    <mergeCell ref="B1237:C1237"/>
    <mergeCell ref="B1238:C1238"/>
    <mergeCell ref="B1239:C1239"/>
    <mergeCell ref="B1240:C1240"/>
    <mergeCell ref="B1241:E1241"/>
    <mergeCell ref="C1243:E1243"/>
    <mergeCell ref="C1245:E1245"/>
    <mergeCell ref="B83:E83"/>
    <mergeCell ref="C85:E85"/>
    <mergeCell ref="C87:E87"/>
    <mergeCell ref="C89:E89"/>
    <mergeCell ref="C95:E95"/>
    <mergeCell ref="B97:E97"/>
    <mergeCell ref="B98:C98"/>
    <mergeCell ref="B99:C99"/>
    <mergeCell ref="B100:C100"/>
    <mergeCell ref="B101:C101"/>
    <mergeCell ref="B102:C102"/>
    <mergeCell ref="B103:C103"/>
    <mergeCell ref="B104:C104"/>
    <mergeCell ref="B107:E107"/>
    <mergeCell ref="C109:E109"/>
    <mergeCell ref="C1205:E1205"/>
    <mergeCell ref="B324:E324"/>
    <mergeCell ref="C1267:E1267"/>
    <mergeCell ref="C1269:E1269"/>
    <mergeCell ref="C1271:E1271"/>
    <mergeCell ref="C1247:E1247"/>
    <mergeCell ref="C1253:E1253"/>
    <mergeCell ref="B1255:E1255"/>
    <mergeCell ref="B1256:C1256"/>
    <mergeCell ref="B1259:C1259"/>
    <mergeCell ref="B1260:C1260"/>
    <mergeCell ref="B1261:C1261"/>
    <mergeCell ref="B1262:C1262"/>
    <mergeCell ref="B1263:C1263"/>
    <mergeCell ref="B1264:C1264"/>
    <mergeCell ref="B1265:E1265"/>
    <mergeCell ref="B1257:C1257"/>
    <mergeCell ref="B1258:C1258"/>
    <mergeCell ref="B1236:C1236"/>
    <mergeCell ref="B1182:E1182"/>
    <mergeCell ref="B1183:C1183"/>
    <mergeCell ref="B1184:C1184"/>
    <mergeCell ref="B1185:C1185"/>
    <mergeCell ref="B1186:C1186"/>
    <mergeCell ref="B1187:C1187"/>
    <mergeCell ref="B1188:C1188"/>
    <mergeCell ref="B1189:C1189"/>
    <mergeCell ref="B1190:C1190"/>
    <mergeCell ref="B1207:E1207"/>
    <mergeCell ref="B1208:C1208"/>
    <mergeCell ref="B1209:C1209"/>
    <mergeCell ref="B1210:C1210"/>
    <mergeCell ref="B1211:C1211"/>
    <mergeCell ref="B1212:C1212"/>
    <mergeCell ref="B1213:C1213"/>
    <mergeCell ref="B1214:C1214"/>
    <mergeCell ref="B1215:C1215"/>
    <mergeCell ref="B1216:C1216"/>
    <mergeCell ref="B1217:E1217"/>
    <mergeCell ref="C1219:E1219"/>
    <mergeCell ref="C1221:E1221"/>
    <mergeCell ref="C1223:E1223"/>
    <mergeCell ref="B1191:C1191"/>
    <mergeCell ref="B1192:E1192"/>
    <mergeCell ref="C1194:E1194"/>
    <mergeCell ref="C1196:E1196"/>
    <mergeCell ref="C1198:E1198"/>
    <mergeCell ref="B1232:C1232"/>
    <mergeCell ref="B1233:C1233"/>
    <mergeCell ref="B1234:C1234"/>
    <mergeCell ref="B1235:C1235"/>
    <mergeCell ref="C1229:E1229"/>
    <mergeCell ref="B1231:E1231"/>
    <mergeCell ref="C1172:E1172"/>
    <mergeCell ref="C1174:E1174"/>
    <mergeCell ref="C1180:E1180"/>
    <mergeCell ref="C1122:E1122"/>
    <mergeCell ref="C1124:E1124"/>
    <mergeCell ref="C1126:E1126"/>
    <mergeCell ref="C1132:E1132"/>
    <mergeCell ref="B1134:E1134"/>
    <mergeCell ref="B1135:C1135"/>
    <mergeCell ref="B1136:C1136"/>
    <mergeCell ref="B1137:C1137"/>
    <mergeCell ref="B1138:C1138"/>
    <mergeCell ref="B1139:C1139"/>
    <mergeCell ref="B1140:C1140"/>
    <mergeCell ref="B1141:C1141"/>
    <mergeCell ref="B1142:C1142"/>
    <mergeCell ref="B1143:C1143"/>
    <mergeCell ref="B1144:E1144"/>
    <mergeCell ref="C1146:E1146"/>
    <mergeCell ref="C1148:E1148"/>
    <mergeCell ref="B1158:E1158"/>
    <mergeCell ref="B1159:C1159"/>
    <mergeCell ref="B1160:C1160"/>
    <mergeCell ref="B1161:C1161"/>
    <mergeCell ref="B1064:C1064"/>
    <mergeCell ref="B1065:C1065"/>
    <mergeCell ref="B1066:C1066"/>
    <mergeCell ref="B1067:C1067"/>
    <mergeCell ref="B1068:C1068"/>
    <mergeCell ref="B1041:C1041"/>
    <mergeCell ref="B971:C971"/>
    <mergeCell ref="B972:C972"/>
    <mergeCell ref="B973:C973"/>
    <mergeCell ref="C988:E988"/>
    <mergeCell ref="B990:E990"/>
    <mergeCell ref="B1017:C1017"/>
    <mergeCell ref="B1018:C1018"/>
    <mergeCell ref="B1019:C1019"/>
    <mergeCell ref="B1020:C1020"/>
    <mergeCell ref="B1021:C1021"/>
    <mergeCell ref="B1022:C1022"/>
    <mergeCell ref="B1023:C1023"/>
    <mergeCell ref="B1024:E1024"/>
    <mergeCell ref="C1026:E1026"/>
    <mergeCell ref="B1042:C1042"/>
    <mergeCell ref="B991:C991"/>
    <mergeCell ref="B992:C992"/>
    <mergeCell ref="B993:C993"/>
    <mergeCell ref="C1012:E1012"/>
    <mergeCell ref="B1014:E1014"/>
    <mergeCell ref="B1015:C1015"/>
    <mergeCell ref="B1016:C1016"/>
    <mergeCell ref="C1028:E1028"/>
    <mergeCell ref="C1030:E1030"/>
    <mergeCell ref="C1036:E1036"/>
    <mergeCell ref="B1038:E1038"/>
    <mergeCell ref="B994:C994"/>
    <mergeCell ref="B995:C995"/>
    <mergeCell ref="B996:C996"/>
    <mergeCell ref="B997:C997"/>
    <mergeCell ref="B998:C998"/>
    <mergeCell ref="B999:C999"/>
    <mergeCell ref="B1000:E1000"/>
    <mergeCell ref="C1002:E1002"/>
    <mergeCell ref="C1004:E1004"/>
    <mergeCell ref="B1039:C1039"/>
    <mergeCell ref="B1040:C1040"/>
    <mergeCell ref="A3:B3"/>
    <mergeCell ref="C3:E3"/>
    <mergeCell ref="A4:B4"/>
    <mergeCell ref="C4:E4"/>
    <mergeCell ref="A5:B5"/>
    <mergeCell ref="A6:B6"/>
    <mergeCell ref="C71:E71"/>
    <mergeCell ref="B73:E73"/>
    <mergeCell ref="B74:C74"/>
    <mergeCell ref="B75:C75"/>
    <mergeCell ref="B76:C76"/>
    <mergeCell ref="B77:C77"/>
    <mergeCell ref="B78:C78"/>
    <mergeCell ref="B79:C79"/>
    <mergeCell ref="B80:C80"/>
    <mergeCell ref="C964:E964"/>
    <mergeCell ref="B966:E966"/>
    <mergeCell ref="B149:C149"/>
    <mergeCell ref="B150:C150"/>
    <mergeCell ref="B151:C151"/>
    <mergeCell ref="B152:C152"/>
    <mergeCell ref="C1006:E1006"/>
    <mergeCell ref="B967:C967"/>
    <mergeCell ref="B968:C968"/>
    <mergeCell ref="B969:C969"/>
    <mergeCell ref="B970:C970"/>
    <mergeCell ref="C181:E181"/>
    <mergeCell ref="C183:E183"/>
    <mergeCell ref="C185:E185"/>
    <mergeCell ref="C191:E191"/>
    <mergeCell ref="B193:E193"/>
    <mergeCell ref="B194:C194"/>
    <mergeCell ref="B197:C197"/>
    <mergeCell ref="B198:C198"/>
    <mergeCell ref="B199:C199"/>
    <mergeCell ref="B196:C196"/>
    <mergeCell ref="B200:C200"/>
    <mergeCell ref="B203:E203"/>
    <mergeCell ref="C205:E205"/>
    <mergeCell ref="B219:C219"/>
    <mergeCell ref="B220:C220"/>
    <mergeCell ref="B221:C221"/>
    <mergeCell ref="C240:E240"/>
    <mergeCell ref="B242:E242"/>
    <mergeCell ref="B243:C243"/>
    <mergeCell ref="B244:C244"/>
    <mergeCell ref="C111:E111"/>
    <mergeCell ref="C113:E113"/>
    <mergeCell ref="C119:E119"/>
    <mergeCell ref="B121:E121"/>
    <mergeCell ref="B122:C122"/>
    <mergeCell ref="B123:C123"/>
    <mergeCell ref="B124:C124"/>
    <mergeCell ref="B125:C125"/>
    <mergeCell ref="B126:C126"/>
    <mergeCell ref="B127:C127"/>
    <mergeCell ref="B128:C128"/>
    <mergeCell ref="B131:E131"/>
    <mergeCell ref="C133:E133"/>
    <mergeCell ref="C135:E135"/>
    <mergeCell ref="C137:E137"/>
    <mergeCell ref="C143:E143"/>
    <mergeCell ref="B145:E145"/>
    <mergeCell ref="B146:C146"/>
    <mergeCell ref="B147:C147"/>
    <mergeCell ref="B148:C148"/>
    <mergeCell ref="B171:C171"/>
    <mergeCell ref="B172:C172"/>
    <mergeCell ref="B173:C173"/>
    <mergeCell ref="B174:C174"/>
    <mergeCell ref="B175:C175"/>
    <mergeCell ref="B176:C176"/>
    <mergeCell ref="B179:E179"/>
    <mergeCell ref="C161:E161"/>
    <mergeCell ref="C167:E167"/>
    <mergeCell ref="B169:E169"/>
    <mergeCell ref="B170:C170"/>
    <mergeCell ref="C159:E159"/>
    <mergeCell ref="B245:C245"/>
    <mergeCell ref="B246:C246"/>
    <mergeCell ref="B247:C247"/>
    <mergeCell ref="C207:E207"/>
    <mergeCell ref="C209:E209"/>
    <mergeCell ref="C215:E215"/>
    <mergeCell ref="B217:E217"/>
    <mergeCell ref="B218:C218"/>
    <mergeCell ref="B226:C226"/>
    <mergeCell ref="B227:E227"/>
    <mergeCell ref="C229:E229"/>
    <mergeCell ref="C231:E231"/>
    <mergeCell ref="C233:E233"/>
    <mergeCell ref="B222:C222"/>
    <mergeCell ref="B248:C248"/>
    <mergeCell ref="B249:C249"/>
    <mergeCell ref="B252:E252"/>
    <mergeCell ref="C254:E254"/>
    <mergeCell ref="C256:E256"/>
    <mergeCell ref="C258:E258"/>
    <mergeCell ref="C264:E264"/>
    <mergeCell ref="B266:E266"/>
    <mergeCell ref="B250:C250"/>
    <mergeCell ref="B251:C251"/>
    <mergeCell ref="B290:E290"/>
    <mergeCell ref="B291:C291"/>
    <mergeCell ref="B292:C292"/>
    <mergeCell ref="B293:C293"/>
    <mergeCell ref="B294:C294"/>
    <mergeCell ref="B274:C274"/>
    <mergeCell ref="B275:C275"/>
    <mergeCell ref="B267:C267"/>
    <mergeCell ref="B268:C268"/>
    <mergeCell ref="B269:C269"/>
    <mergeCell ref="B270:C270"/>
    <mergeCell ref="B271:C271"/>
    <mergeCell ref="B272:C272"/>
    <mergeCell ref="B273:C273"/>
    <mergeCell ref="B276:E276"/>
    <mergeCell ref="C278:E278"/>
    <mergeCell ref="B388:E388"/>
    <mergeCell ref="B389:C389"/>
    <mergeCell ref="B390:C390"/>
    <mergeCell ref="B314:E314"/>
    <mergeCell ref="B315:C315"/>
    <mergeCell ref="B316:C316"/>
    <mergeCell ref="B317:C317"/>
    <mergeCell ref="B318:C318"/>
    <mergeCell ref="B319:C319"/>
    <mergeCell ref="B320:C320"/>
    <mergeCell ref="B321:C321"/>
    <mergeCell ref="B368:C368"/>
    <mergeCell ref="B369:C369"/>
    <mergeCell ref="B370:C370"/>
    <mergeCell ref="B371:C371"/>
    <mergeCell ref="B374:E374"/>
    <mergeCell ref="C376:E376"/>
    <mergeCell ref="C378:E378"/>
    <mergeCell ref="C380:E380"/>
    <mergeCell ref="C386:E386"/>
    <mergeCell ref="B323:C323"/>
    <mergeCell ref="B346:C346"/>
    <mergeCell ref="B347:C347"/>
    <mergeCell ref="B372:C372"/>
    <mergeCell ref="C456:E456"/>
    <mergeCell ref="C458:E458"/>
    <mergeCell ref="B460:E460"/>
    <mergeCell ref="B461:C461"/>
    <mergeCell ref="B462:C462"/>
    <mergeCell ref="B412:E412"/>
    <mergeCell ref="B413:C413"/>
    <mergeCell ref="B414:C414"/>
    <mergeCell ref="B415:C415"/>
    <mergeCell ref="B416:C416"/>
    <mergeCell ref="B417:C417"/>
    <mergeCell ref="B418:C418"/>
    <mergeCell ref="B419:C419"/>
    <mergeCell ref="B422:E422"/>
    <mergeCell ref="C496:E496"/>
    <mergeCell ref="C498:E498"/>
    <mergeCell ref="C500:E500"/>
    <mergeCell ref="C506:E506"/>
    <mergeCell ref="B508:E508"/>
    <mergeCell ref="B509:C509"/>
    <mergeCell ref="B510:C510"/>
    <mergeCell ref="C424:E424"/>
    <mergeCell ref="C426:E426"/>
    <mergeCell ref="C428:E428"/>
    <mergeCell ref="C434:E434"/>
    <mergeCell ref="B436:E436"/>
    <mergeCell ref="B437:C437"/>
    <mergeCell ref="B491:C491"/>
    <mergeCell ref="B494:E494"/>
    <mergeCell ref="B493:C493"/>
    <mergeCell ref="B438:C438"/>
    <mergeCell ref="B439:C439"/>
    <mergeCell ref="B440:C440"/>
    <mergeCell ref="B441:C441"/>
    <mergeCell ref="B442:C442"/>
    <mergeCell ref="B443:C443"/>
    <mergeCell ref="B446:E446"/>
    <mergeCell ref="C448:E448"/>
    <mergeCell ref="B511:C511"/>
    <mergeCell ref="B512:C512"/>
    <mergeCell ref="B513:C513"/>
    <mergeCell ref="B514:C514"/>
    <mergeCell ref="B515:C515"/>
    <mergeCell ref="B518:E518"/>
    <mergeCell ref="C520:E520"/>
    <mergeCell ref="C522:E522"/>
    <mergeCell ref="C524:E524"/>
    <mergeCell ref="C530:E530"/>
    <mergeCell ref="B516:C516"/>
    <mergeCell ref="B517:C517"/>
    <mergeCell ref="B532:E532"/>
    <mergeCell ref="B533:C533"/>
    <mergeCell ref="B534:C534"/>
    <mergeCell ref="B535:C535"/>
    <mergeCell ref="B536:C536"/>
    <mergeCell ref="B537:C537"/>
    <mergeCell ref="B538:C538"/>
    <mergeCell ref="B539:C539"/>
    <mergeCell ref="B542:E542"/>
    <mergeCell ref="C544:E544"/>
    <mergeCell ref="C546:E546"/>
    <mergeCell ref="C548:E548"/>
    <mergeCell ref="C554:E554"/>
    <mergeCell ref="B556:E556"/>
    <mergeCell ref="B557:C557"/>
    <mergeCell ref="B558:C558"/>
    <mergeCell ref="B559:C559"/>
    <mergeCell ref="B540:C540"/>
    <mergeCell ref="B541:C541"/>
    <mergeCell ref="B590:E590"/>
    <mergeCell ref="C592:E592"/>
    <mergeCell ref="C594:E594"/>
    <mergeCell ref="C596:E596"/>
    <mergeCell ref="B560:C560"/>
    <mergeCell ref="B561:C561"/>
    <mergeCell ref="B562:C562"/>
    <mergeCell ref="B563:C563"/>
    <mergeCell ref="B566:E566"/>
    <mergeCell ref="C568:E568"/>
    <mergeCell ref="C570:E570"/>
    <mergeCell ref="C572:E572"/>
    <mergeCell ref="C578:E578"/>
    <mergeCell ref="B580:E580"/>
    <mergeCell ref="B581:C581"/>
    <mergeCell ref="B582:C582"/>
    <mergeCell ref="B583:C583"/>
    <mergeCell ref="B584:C584"/>
    <mergeCell ref="B585:C585"/>
    <mergeCell ref="B586:C586"/>
    <mergeCell ref="B587:C587"/>
    <mergeCell ref="B564:C564"/>
    <mergeCell ref="B565:C565"/>
    <mergeCell ref="C601:E601"/>
    <mergeCell ref="C603:E603"/>
    <mergeCell ref="B605:E605"/>
    <mergeCell ref="B606:C606"/>
    <mergeCell ref="B607:C607"/>
    <mergeCell ref="B608:C608"/>
    <mergeCell ref="B588:C588"/>
    <mergeCell ref="B589:C589"/>
    <mergeCell ref="C602:E602"/>
    <mergeCell ref="B609:C609"/>
    <mergeCell ref="B610:C610"/>
    <mergeCell ref="B611:C611"/>
    <mergeCell ref="B612:C612"/>
    <mergeCell ref="B615:E615"/>
    <mergeCell ref="C617:E617"/>
    <mergeCell ref="C619:E619"/>
    <mergeCell ref="C621:E621"/>
    <mergeCell ref="C625:E625"/>
    <mergeCell ref="B613:C613"/>
    <mergeCell ref="B614:C614"/>
    <mergeCell ref="C627:E627"/>
    <mergeCell ref="B629:E629"/>
    <mergeCell ref="B630:C630"/>
    <mergeCell ref="B631:C631"/>
    <mergeCell ref="B632:C632"/>
    <mergeCell ref="B633:C633"/>
    <mergeCell ref="B634:C634"/>
    <mergeCell ref="B635:C635"/>
    <mergeCell ref="B636:C636"/>
    <mergeCell ref="B656:C656"/>
    <mergeCell ref="B657:C657"/>
    <mergeCell ref="B658:C658"/>
    <mergeCell ref="B659:C659"/>
    <mergeCell ref="B660:C660"/>
    <mergeCell ref="B663:E663"/>
    <mergeCell ref="C665:E665"/>
    <mergeCell ref="C667:E667"/>
    <mergeCell ref="B637:C637"/>
    <mergeCell ref="B638:C638"/>
    <mergeCell ref="B639:E639"/>
    <mergeCell ref="C641:E641"/>
    <mergeCell ref="C643:E643"/>
    <mergeCell ref="C645:E645"/>
    <mergeCell ref="C649:E649"/>
    <mergeCell ref="C651:E651"/>
    <mergeCell ref="B653:E653"/>
    <mergeCell ref="B654:C654"/>
    <mergeCell ref="B655:C655"/>
    <mergeCell ref="B683:C683"/>
    <mergeCell ref="B684:C684"/>
    <mergeCell ref="B687:E687"/>
    <mergeCell ref="C689:E689"/>
    <mergeCell ref="C691:E691"/>
    <mergeCell ref="C693:E693"/>
    <mergeCell ref="C699:E699"/>
    <mergeCell ref="B701:E701"/>
    <mergeCell ref="B661:C661"/>
    <mergeCell ref="B662:C662"/>
    <mergeCell ref="C669:E669"/>
    <mergeCell ref="C673:E673"/>
    <mergeCell ref="C675:E675"/>
    <mergeCell ref="B677:E677"/>
    <mergeCell ref="B678:C678"/>
    <mergeCell ref="B679:C679"/>
    <mergeCell ref="B680:C680"/>
    <mergeCell ref="B681:C681"/>
    <mergeCell ref="B682:C682"/>
    <mergeCell ref="C715:E715"/>
    <mergeCell ref="C717:E717"/>
    <mergeCell ref="C723:E723"/>
    <mergeCell ref="B725:E725"/>
    <mergeCell ref="B726:C726"/>
    <mergeCell ref="B727:C727"/>
    <mergeCell ref="B728:C728"/>
    <mergeCell ref="B685:C685"/>
    <mergeCell ref="B686:C686"/>
    <mergeCell ref="B709:C709"/>
    <mergeCell ref="B710:C710"/>
    <mergeCell ref="B702:C702"/>
    <mergeCell ref="B703:C703"/>
    <mergeCell ref="B704:C704"/>
    <mergeCell ref="B705:C705"/>
    <mergeCell ref="B706:C706"/>
    <mergeCell ref="B707:C707"/>
    <mergeCell ref="B708:C708"/>
    <mergeCell ref="B711:E711"/>
    <mergeCell ref="C713:E713"/>
    <mergeCell ref="C722:E722"/>
    <mergeCell ref="B729:C729"/>
    <mergeCell ref="B730:C730"/>
    <mergeCell ref="B731:C731"/>
    <mergeCell ref="B732:C732"/>
    <mergeCell ref="B735:E735"/>
    <mergeCell ref="C737:E737"/>
    <mergeCell ref="C739:E739"/>
    <mergeCell ref="C741:E741"/>
    <mergeCell ref="C747:E747"/>
    <mergeCell ref="B749:E749"/>
    <mergeCell ref="B750:C750"/>
    <mergeCell ref="B751:C751"/>
    <mergeCell ref="B752:C752"/>
    <mergeCell ref="B753:C753"/>
    <mergeCell ref="B754:C754"/>
    <mergeCell ref="B755:C755"/>
    <mergeCell ref="B756:C756"/>
    <mergeCell ref="B733:C733"/>
    <mergeCell ref="B734:C734"/>
    <mergeCell ref="B777:C777"/>
    <mergeCell ref="B778:C778"/>
    <mergeCell ref="B758:C758"/>
    <mergeCell ref="B779:C779"/>
    <mergeCell ref="B780:C780"/>
    <mergeCell ref="B783:E783"/>
    <mergeCell ref="C785:E785"/>
    <mergeCell ref="C787:E787"/>
    <mergeCell ref="B757:C757"/>
    <mergeCell ref="B759:E759"/>
    <mergeCell ref="C761:E761"/>
    <mergeCell ref="C763:E763"/>
    <mergeCell ref="C765:E765"/>
    <mergeCell ref="C771:E771"/>
    <mergeCell ref="B773:E773"/>
    <mergeCell ref="B774:C774"/>
    <mergeCell ref="B775:C775"/>
    <mergeCell ref="B776:C776"/>
    <mergeCell ref="C770:E770"/>
    <mergeCell ref="B804:C804"/>
    <mergeCell ref="B807:E807"/>
    <mergeCell ref="C809:E809"/>
    <mergeCell ref="B781:C781"/>
    <mergeCell ref="B782:C782"/>
    <mergeCell ref="B805:C805"/>
    <mergeCell ref="B806:C806"/>
    <mergeCell ref="C789:E789"/>
    <mergeCell ref="C795:E795"/>
    <mergeCell ref="B797:E797"/>
    <mergeCell ref="B798:C798"/>
    <mergeCell ref="B799:C799"/>
    <mergeCell ref="B800:C800"/>
    <mergeCell ref="B801:C801"/>
    <mergeCell ref="B802:C802"/>
    <mergeCell ref="B803:C803"/>
    <mergeCell ref="C794:E794"/>
    <mergeCell ref="C811:E811"/>
    <mergeCell ref="C813:E813"/>
    <mergeCell ref="C819:E819"/>
    <mergeCell ref="B821:E821"/>
    <mergeCell ref="B822:C822"/>
    <mergeCell ref="B823:C823"/>
    <mergeCell ref="B824:C824"/>
    <mergeCell ref="B825:C825"/>
    <mergeCell ref="B826:C826"/>
    <mergeCell ref="C818:E818"/>
    <mergeCell ref="B855:E855"/>
    <mergeCell ref="C857:E857"/>
    <mergeCell ref="B827:C827"/>
    <mergeCell ref="B828:C828"/>
    <mergeCell ref="B831:E831"/>
    <mergeCell ref="C833:E833"/>
    <mergeCell ref="C835:E835"/>
    <mergeCell ref="C837:E837"/>
    <mergeCell ref="C843:E843"/>
    <mergeCell ref="B845:E845"/>
    <mergeCell ref="B829:C829"/>
    <mergeCell ref="B830:C830"/>
    <mergeCell ref="B853:C853"/>
    <mergeCell ref="B854:C854"/>
    <mergeCell ref="B846:C846"/>
    <mergeCell ref="B847:C847"/>
    <mergeCell ref="B848:C848"/>
    <mergeCell ref="B849:C849"/>
    <mergeCell ref="B850:C850"/>
    <mergeCell ref="B851:C851"/>
    <mergeCell ref="B852:C852"/>
    <mergeCell ref="C842:E842"/>
    <mergeCell ref="B899:C899"/>
    <mergeCell ref="B900:C900"/>
    <mergeCell ref="B903:E903"/>
    <mergeCell ref="B877:C877"/>
    <mergeCell ref="B878:C878"/>
    <mergeCell ref="B901:C901"/>
    <mergeCell ref="B902:C902"/>
    <mergeCell ref="C859:E859"/>
    <mergeCell ref="C861:E861"/>
    <mergeCell ref="C867:E867"/>
    <mergeCell ref="B869:E869"/>
    <mergeCell ref="B870:C870"/>
    <mergeCell ref="B871:C871"/>
    <mergeCell ref="B872:C872"/>
    <mergeCell ref="B873:C873"/>
    <mergeCell ref="C883:E883"/>
    <mergeCell ref="C885:E885"/>
    <mergeCell ref="C891:E891"/>
    <mergeCell ref="B893:E893"/>
    <mergeCell ref="B894:C894"/>
    <mergeCell ref="B895:C895"/>
    <mergeCell ref="B896:C896"/>
    <mergeCell ref="B897:C897"/>
    <mergeCell ref="B898:C898"/>
    <mergeCell ref="B944:C944"/>
    <mergeCell ref="B945:C945"/>
    <mergeCell ref="B946:C946"/>
    <mergeCell ref="B947:C947"/>
    <mergeCell ref="B948:C948"/>
    <mergeCell ref="B949:C949"/>
    <mergeCell ref="B922:C922"/>
    <mergeCell ref="B923:C923"/>
    <mergeCell ref="B924:C924"/>
    <mergeCell ref="B925:C925"/>
    <mergeCell ref="B928:E928"/>
    <mergeCell ref="C930:E930"/>
    <mergeCell ref="C932:E932"/>
    <mergeCell ref="B926:C926"/>
    <mergeCell ref="B927:C927"/>
    <mergeCell ref="C905:E905"/>
    <mergeCell ref="C907:E907"/>
    <mergeCell ref="C909:E909"/>
    <mergeCell ref="B874:C874"/>
    <mergeCell ref="B875:C875"/>
    <mergeCell ref="B876:C876"/>
    <mergeCell ref="B879:E879"/>
    <mergeCell ref="C881:E881"/>
    <mergeCell ref="C280:E280"/>
    <mergeCell ref="C282:E282"/>
    <mergeCell ref="C288:E288"/>
    <mergeCell ref="B391:C391"/>
    <mergeCell ref="B322:C322"/>
    <mergeCell ref="B298:C298"/>
    <mergeCell ref="B299:C299"/>
    <mergeCell ref="B295:C295"/>
    <mergeCell ref="B296:C296"/>
    <mergeCell ref="B297:C297"/>
    <mergeCell ref="B300:E300"/>
    <mergeCell ref="C302:E302"/>
    <mergeCell ref="C304:E304"/>
    <mergeCell ref="C306:E306"/>
    <mergeCell ref="C310:E310"/>
    <mergeCell ref="C312:E312"/>
    <mergeCell ref="C916:E916"/>
    <mergeCell ref="B918:E918"/>
    <mergeCell ref="B919:C919"/>
    <mergeCell ref="B920:C920"/>
    <mergeCell ref="B921:C921"/>
    <mergeCell ref="B81:C81"/>
    <mergeCell ref="B82:C82"/>
    <mergeCell ref="B105:C105"/>
    <mergeCell ref="B106:C106"/>
    <mergeCell ref="B129:C129"/>
    <mergeCell ref="B130:C130"/>
    <mergeCell ref="B153:C153"/>
    <mergeCell ref="B154:C154"/>
    <mergeCell ref="B177:C177"/>
    <mergeCell ref="B178:C178"/>
    <mergeCell ref="B201:C201"/>
    <mergeCell ref="B202:C202"/>
    <mergeCell ref="B225:C225"/>
    <mergeCell ref="B223:C223"/>
    <mergeCell ref="B224:C224"/>
    <mergeCell ref="B195:C195"/>
    <mergeCell ref="C402:E402"/>
    <mergeCell ref="C404:E404"/>
    <mergeCell ref="C410:E410"/>
    <mergeCell ref="C362:E362"/>
    <mergeCell ref="B364:E364"/>
    <mergeCell ref="B365:C365"/>
    <mergeCell ref="B366:C366"/>
    <mergeCell ref="B367:C367"/>
    <mergeCell ref="B444:C444"/>
    <mergeCell ref="B445:C445"/>
    <mergeCell ref="B468:C468"/>
    <mergeCell ref="B469:C469"/>
    <mergeCell ref="B463:C463"/>
    <mergeCell ref="B464:C464"/>
    <mergeCell ref="C450:E450"/>
    <mergeCell ref="C452:E452"/>
    <mergeCell ref="B373:C373"/>
    <mergeCell ref="B396:C396"/>
    <mergeCell ref="B397:C397"/>
    <mergeCell ref="B420:C420"/>
    <mergeCell ref="B421:C421"/>
    <mergeCell ref="B392:C392"/>
    <mergeCell ref="B393:C393"/>
    <mergeCell ref="B394:C394"/>
    <mergeCell ref="B395:C395"/>
    <mergeCell ref="B398:E398"/>
    <mergeCell ref="C400:E400"/>
    <mergeCell ref="B492:C492"/>
    <mergeCell ref="B465:C465"/>
    <mergeCell ref="B466:C466"/>
    <mergeCell ref="B467:C467"/>
    <mergeCell ref="B470:E470"/>
    <mergeCell ref="C472:E472"/>
    <mergeCell ref="C474:E474"/>
    <mergeCell ref="C476:E476"/>
    <mergeCell ref="C482:E482"/>
    <mergeCell ref="B484:E484"/>
    <mergeCell ref="B485:C485"/>
    <mergeCell ref="B486:C486"/>
    <mergeCell ref="B487:C487"/>
    <mergeCell ref="B488:C488"/>
    <mergeCell ref="B489:C489"/>
    <mergeCell ref="B490:C490"/>
    <mergeCell ref="B952:E952"/>
    <mergeCell ref="C954:E954"/>
    <mergeCell ref="B950:C950"/>
    <mergeCell ref="B951:C951"/>
    <mergeCell ref="C934:E934"/>
    <mergeCell ref="C940:E940"/>
    <mergeCell ref="B942:E942"/>
    <mergeCell ref="B943:C943"/>
    <mergeCell ref="B1286:C1286"/>
    <mergeCell ref="C1278:E1278"/>
    <mergeCell ref="B1280:E1280"/>
    <mergeCell ref="B1281:C1281"/>
    <mergeCell ref="B1282:C1282"/>
    <mergeCell ref="B1283:C1283"/>
    <mergeCell ref="B1284:C1284"/>
    <mergeCell ref="B1285:C1285"/>
    <mergeCell ref="C956:E956"/>
    <mergeCell ref="C958:E958"/>
    <mergeCell ref="B974:C974"/>
    <mergeCell ref="B975:C975"/>
    <mergeCell ref="B976:E976"/>
    <mergeCell ref="C978:E978"/>
    <mergeCell ref="C980:E980"/>
    <mergeCell ref="C982:E982"/>
    <mergeCell ref="B1305:C1305"/>
    <mergeCell ref="B1306:C1306"/>
    <mergeCell ref="B1307:C1307"/>
    <mergeCell ref="B1308:C1308"/>
    <mergeCell ref="B1309:C1309"/>
    <mergeCell ref="B1310:C1310"/>
    <mergeCell ref="B1311:C1311"/>
    <mergeCell ref="B1330:C1330"/>
    <mergeCell ref="B1287:C1287"/>
    <mergeCell ref="B1288:C1288"/>
    <mergeCell ref="B1289:C1289"/>
    <mergeCell ref="B1290:E1290"/>
    <mergeCell ref="C1292:E1292"/>
    <mergeCell ref="C1294:E1294"/>
    <mergeCell ref="C1296:E1296"/>
    <mergeCell ref="C1302:E1302"/>
    <mergeCell ref="B1304:E1304"/>
    <mergeCell ref="B1331:C1331"/>
    <mergeCell ref="B1332:C1332"/>
    <mergeCell ref="B1333:C1333"/>
    <mergeCell ref="B1334:C1334"/>
    <mergeCell ref="B1335:C1335"/>
    <mergeCell ref="B1336:C1336"/>
    <mergeCell ref="B1337:C1337"/>
    <mergeCell ref="B1312:C1312"/>
    <mergeCell ref="B1313:C1313"/>
    <mergeCell ref="B1314:E1314"/>
    <mergeCell ref="C1316:E1316"/>
    <mergeCell ref="C1318:E1318"/>
    <mergeCell ref="C1320:E1320"/>
    <mergeCell ref="C1326:E1326"/>
    <mergeCell ref="B1328:E1328"/>
    <mergeCell ref="B1329:C1329"/>
    <mergeCell ref="B1356:C1356"/>
    <mergeCell ref="B1357:C1357"/>
    <mergeCell ref="B1358:C1358"/>
    <mergeCell ref="B1359:C1359"/>
    <mergeCell ref="B1360:C1360"/>
    <mergeCell ref="B1361:C1361"/>
    <mergeCell ref="B1362:E1362"/>
    <mergeCell ref="C1364:E1364"/>
    <mergeCell ref="B1338:E1338"/>
    <mergeCell ref="C1340:E1340"/>
    <mergeCell ref="C1342:E1342"/>
    <mergeCell ref="C1344:E1344"/>
    <mergeCell ref="C1350:E1350"/>
    <mergeCell ref="B1352:E1352"/>
    <mergeCell ref="B1353:C1353"/>
    <mergeCell ref="B1354:C1354"/>
    <mergeCell ref="B1355:C1355"/>
    <mergeCell ref="C1391:E1391"/>
    <mergeCell ref="C1366:E1366"/>
    <mergeCell ref="C1368:E1368"/>
    <mergeCell ref="C1375:E1375"/>
    <mergeCell ref="B1377:E1377"/>
    <mergeCell ref="B1378:C1378"/>
    <mergeCell ref="B1379:C1379"/>
    <mergeCell ref="B1380:C1380"/>
    <mergeCell ref="B1381:C1381"/>
    <mergeCell ref="A1:I1"/>
    <mergeCell ref="C1413:E1413"/>
    <mergeCell ref="C1415:E1415"/>
    <mergeCell ref="C1417:E1417"/>
    <mergeCell ref="B1408:C1408"/>
    <mergeCell ref="B1409:C1409"/>
    <mergeCell ref="B1410:C1410"/>
    <mergeCell ref="B1411:E1411"/>
    <mergeCell ref="C1393:E1393"/>
    <mergeCell ref="C1399:E1399"/>
    <mergeCell ref="B1401:E1401"/>
    <mergeCell ref="B1402:C1402"/>
    <mergeCell ref="B1403:C1403"/>
    <mergeCell ref="B1404:C1404"/>
    <mergeCell ref="B1405:C1405"/>
    <mergeCell ref="B1406:C1406"/>
    <mergeCell ref="B1407:C1407"/>
    <mergeCell ref="B1382:C1382"/>
    <mergeCell ref="B1383:C1383"/>
    <mergeCell ref="B1384:C1384"/>
    <mergeCell ref="B1385:C1385"/>
    <mergeCell ref="B1386:C1386"/>
    <mergeCell ref="B1387:E1387"/>
    <mergeCell ref="C1389:E1389"/>
  </mergeCells>
  <phoneticPr fontId="18" type="noConversion"/>
  <pageMargins left="0" right="0" top="0" bottom="0" header="0" footer="0"/>
  <pageSetup paperSize="5" scale="5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0"/>
  <sheetViews>
    <sheetView topLeftCell="A76" workbookViewId="0">
      <selection activeCell="H28" sqref="H28"/>
    </sheetView>
  </sheetViews>
  <sheetFormatPr baseColWidth="10" defaultColWidth="11" defaultRowHeight="12.75" x14ac:dyDescent="0.2"/>
  <cols>
    <col min="1" max="1" width="3.5703125" style="2" customWidth="1"/>
    <col min="2" max="2" width="19.28515625" style="2" customWidth="1"/>
    <col min="3" max="3" width="29.28515625" style="2" customWidth="1"/>
    <col min="4" max="4" width="8.85546875" style="2" customWidth="1"/>
    <col min="5" max="5" width="110.140625" style="2" customWidth="1"/>
    <col min="6" max="6" width="11" style="2"/>
    <col min="7" max="7" width="12.7109375" style="2" customWidth="1"/>
    <col min="8" max="8" width="13.85546875" style="2" customWidth="1"/>
    <col min="9" max="9" width="18.5703125" style="2" customWidth="1"/>
    <col min="10" max="16384" width="11" style="2"/>
  </cols>
  <sheetData>
    <row r="1" spans="1:9" ht="27" x14ac:dyDescent="0.35">
      <c r="B1" s="185" t="s">
        <v>0</v>
      </c>
      <c r="C1" s="185"/>
      <c r="D1" s="185"/>
      <c r="E1" s="185"/>
      <c r="F1" s="185"/>
      <c r="G1" s="185"/>
      <c r="H1" s="185"/>
    </row>
    <row r="2" spans="1:9" ht="8.25" customHeight="1" x14ac:dyDescent="0.2"/>
    <row r="3" spans="1:9" ht="18" customHeight="1" x14ac:dyDescent="0.25">
      <c r="A3" s="182" t="s">
        <v>1</v>
      </c>
      <c r="B3" s="182"/>
      <c r="C3" s="186" t="s">
        <v>27</v>
      </c>
      <c r="D3" s="186"/>
      <c r="E3" s="186"/>
      <c r="F3" s="3"/>
      <c r="G3" s="4"/>
      <c r="H3" s="3"/>
    </row>
    <row r="4" spans="1:9" ht="18" customHeight="1" x14ac:dyDescent="0.25">
      <c r="A4" s="182" t="s">
        <v>2</v>
      </c>
      <c r="B4" s="182"/>
      <c r="C4" s="186" t="s">
        <v>23</v>
      </c>
      <c r="D4" s="186"/>
      <c r="E4" s="186"/>
      <c r="F4" s="3"/>
      <c r="G4" s="4"/>
      <c r="H4" s="3"/>
    </row>
    <row r="5" spans="1:9" ht="16.5" customHeight="1" x14ac:dyDescent="0.25">
      <c r="A5" s="182" t="s">
        <v>3</v>
      </c>
      <c r="B5" s="182"/>
      <c r="C5" s="21">
        <v>2020</v>
      </c>
      <c r="D5" s="22"/>
      <c r="E5" s="22"/>
      <c r="F5" s="3"/>
      <c r="G5" s="4"/>
      <c r="H5" s="3"/>
    </row>
    <row r="6" spans="1:9" ht="16.5" customHeight="1" x14ac:dyDescent="0.25">
      <c r="A6" s="182" t="s">
        <v>4</v>
      </c>
      <c r="B6" s="182"/>
      <c r="C6" s="21">
        <v>4</v>
      </c>
      <c r="D6" s="22"/>
      <c r="E6" s="22"/>
      <c r="F6" s="3"/>
      <c r="G6" s="4"/>
      <c r="H6" s="3"/>
    </row>
    <row r="7" spans="1:9" ht="9" customHeight="1" thickBot="1" x14ac:dyDescent="0.25">
      <c r="B7" s="3"/>
      <c r="C7" s="4"/>
      <c r="D7" s="3"/>
      <c r="E7" s="3"/>
      <c r="F7" s="3"/>
      <c r="G7" s="4"/>
      <c r="H7" s="3"/>
    </row>
    <row r="8" spans="1:9" ht="39" thickBot="1" x14ac:dyDescent="0.25">
      <c r="A8" s="24" t="s">
        <v>5</v>
      </c>
      <c r="B8" s="33" t="s">
        <v>6</v>
      </c>
      <c r="C8" s="24" t="s">
        <v>7</v>
      </c>
      <c r="D8" s="24" t="s">
        <v>8</v>
      </c>
      <c r="E8" s="33" t="s">
        <v>9</v>
      </c>
      <c r="F8" s="25" t="s">
        <v>10</v>
      </c>
      <c r="G8" s="26" t="s">
        <v>11</v>
      </c>
      <c r="H8" s="26" t="s">
        <v>12</v>
      </c>
      <c r="I8" s="27" t="s">
        <v>13</v>
      </c>
    </row>
    <row r="9" spans="1:9" x14ac:dyDescent="0.2">
      <c r="A9" s="5">
        <v>1</v>
      </c>
      <c r="B9" s="30" t="s">
        <v>83</v>
      </c>
      <c r="C9" s="44" t="s">
        <v>71</v>
      </c>
      <c r="D9" s="47" t="s">
        <v>72</v>
      </c>
      <c r="E9" s="30" t="s">
        <v>86</v>
      </c>
      <c r="F9" s="40" t="s">
        <v>79</v>
      </c>
      <c r="G9" s="41">
        <v>240</v>
      </c>
      <c r="H9" s="106"/>
      <c r="I9" s="109">
        <f>G9*H9</f>
        <v>0</v>
      </c>
    </row>
    <row r="10" spans="1:9" x14ac:dyDescent="0.2">
      <c r="A10" s="6">
        <v>2</v>
      </c>
      <c r="B10" s="23" t="s">
        <v>84</v>
      </c>
      <c r="C10" s="45" t="s">
        <v>71</v>
      </c>
      <c r="D10" s="48" t="s">
        <v>72</v>
      </c>
      <c r="E10" s="23" t="s">
        <v>87</v>
      </c>
      <c r="F10" s="31" t="s">
        <v>79</v>
      </c>
      <c r="G10" s="32">
        <v>240</v>
      </c>
      <c r="H10" s="107"/>
      <c r="I10" s="110">
        <f>G10*H10</f>
        <v>0</v>
      </c>
    </row>
    <row r="11" spans="1:9" ht="13.5" thickBot="1" x14ac:dyDescent="0.25">
      <c r="A11" s="7">
        <v>3</v>
      </c>
      <c r="B11" s="28" t="s">
        <v>85</v>
      </c>
      <c r="C11" s="46" t="s">
        <v>71</v>
      </c>
      <c r="D11" s="49" t="s">
        <v>72</v>
      </c>
      <c r="E11" s="28" t="s">
        <v>88</v>
      </c>
      <c r="F11" s="42" t="s">
        <v>79</v>
      </c>
      <c r="G11" s="43">
        <v>240</v>
      </c>
      <c r="H11" s="108"/>
      <c r="I11" s="111">
        <f>G11*H11</f>
        <v>0</v>
      </c>
    </row>
    <row r="14" spans="1:9" x14ac:dyDescent="0.2">
      <c r="B14" s="8" t="s">
        <v>15</v>
      </c>
      <c r="C14" s="9"/>
      <c r="D14" s="9"/>
      <c r="E14" s="10"/>
    </row>
    <row r="15" spans="1:9" ht="5.25" customHeight="1" x14ac:dyDescent="0.2">
      <c r="B15" s="11"/>
      <c r="C15" s="12"/>
      <c r="D15" s="12"/>
      <c r="E15" s="13"/>
    </row>
    <row r="16" spans="1:9" x14ac:dyDescent="0.2">
      <c r="B16" s="14" t="s">
        <v>16</v>
      </c>
      <c r="C16" s="12"/>
      <c r="D16" s="12"/>
      <c r="E16" s="13"/>
    </row>
    <row r="17" spans="2:5" x14ac:dyDescent="0.2">
      <c r="B17" s="14"/>
      <c r="C17" s="180" t="s">
        <v>89</v>
      </c>
      <c r="D17" s="180"/>
      <c r="E17" s="181"/>
    </row>
    <row r="18" spans="2:5" ht="13.5" thickBot="1" x14ac:dyDescent="0.25">
      <c r="B18" s="14" t="s">
        <v>17</v>
      </c>
      <c r="C18" s="12"/>
      <c r="D18" s="12"/>
      <c r="E18" s="13"/>
    </row>
    <row r="19" spans="2:5" ht="13.5" thickBot="1" x14ac:dyDescent="0.25">
      <c r="B19" s="176" t="s">
        <v>98</v>
      </c>
      <c r="C19" s="177"/>
      <c r="D19" s="177"/>
      <c r="E19" s="178"/>
    </row>
    <row r="20" spans="2:5" ht="13.5" thickBot="1" x14ac:dyDescent="0.25">
      <c r="B20" s="176" t="s">
        <v>99</v>
      </c>
      <c r="C20" s="178"/>
      <c r="D20" s="50" t="s">
        <v>11</v>
      </c>
      <c r="E20" s="50" t="s">
        <v>100</v>
      </c>
    </row>
    <row r="21" spans="2:5" x14ac:dyDescent="0.2">
      <c r="B21" s="225" t="s">
        <v>251</v>
      </c>
      <c r="C21" s="225"/>
      <c r="D21" s="102">
        <v>1</v>
      </c>
      <c r="E21" s="103" t="s">
        <v>250</v>
      </c>
    </row>
    <row r="22" spans="2:5" x14ac:dyDescent="0.2">
      <c r="B22" s="220" t="s">
        <v>252</v>
      </c>
      <c r="C22" s="220"/>
      <c r="D22" s="98">
        <v>1</v>
      </c>
      <c r="E22" s="99" t="s">
        <v>207</v>
      </c>
    </row>
    <row r="23" spans="2:5" x14ac:dyDescent="0.2">
      <c r="B23" s="220" t="s">
        <v>254</v>
      </c>
      <c r="C23" s="220"/>
      <c r="D23" s="98">
        <v>1</v>
      </c>
      <c r="E23" s="99" t="s">
        <v>208</v>
      </c>
    </row>
    <row r="24" spans="2:5" x14ac:dyDescent="0.2">
      <c r="B24" s="220" t="s">
        <v>253</v>
      </c>
      <c r="C24" s="220"/>
      <c r="D24" s="98">
        <v>1</v>
      </c>
      <c r="E24" s="99" t="s">
        <v>209</v>
      </c>
    </row>
    <row r="25" spans="2:5" x14ac:dyDescent="0.2">
      <c r="B25" s="220" t="s">
        <v>248</v>
      </c>
      <c r="C25" s="220"/>
      <c r="D25" s="98">
        <v>1</v>
      </c>
      <c r="E25" s="99" t="s">
        <v>249</v>
      </c>
    </row>
    <row r="26" spans="2:5" x14ac:dyDescent="0.2">
      <c r="B26" s="220" t="s">
        <v>210</v>
      </c>
      <c r="C26" s="220"/>
      <c r="D26" s="98">
        <v>1</v>
      </c>
      <c r="E26" s="99" t="s">
        <v>211</v>
      </c>
    </row>
    <row r="27" spans="2:5" x14ac:dyDescent="0.2">
      <c r="B27" s="220" t="s">
        <v>212</v>
      </c>
      <c r="C27" s="220"/>
      <c r="D27" s="98">
        <v>1</v>
      </c>
      <c r="E27" s="99" t="s">
        <v>213</v>
      </c>
    </row>
    <row r="28" spans="2:5" x14ac:dyDescent="0.2">
      <c r="B28" s="220" t="s">
        <v>214</v>
      </c>
      <c r="C28" s="220"/>
      <c r="D28" s="98">
        <v>1</v>
      </c>
      <c r="E28" s="99" t="s">
        <v>215</v>
      </c>
    </row>
    <row r="29" spans="2:5" x14ac:dyDescent="0.2">
      <c r="B29" s="220" t="s">
        <v>216</v>
      </c>
      <c r="C29" s="220"/>
      <c r="D29" s="98">
        <v>1</v>
      </c>
      <c r="E29" s="99" t="s">
        <v>217</v>
      </c>
    </row>
    <row r="30" spans="2:5" x14ac:dyDescent="0.2">
      <c r="B30" s="220" t="s">
        <v>255</v>
      </c>
      <c r="C30" s="220"/>
      <c r="D30" s="98">
        <v>1</v>
      </c>
      <c r="E30" s="99" t="s">
        <v>218</v>
      </c>
    </row>
    <row r="31" spans="2:5" x14ac:dyDescent="0.2">
      <c r="B31" s="220" t="s">
        <v>219</v>
      </c>
      <c r="C31" s="220"/>
      <c r="D31" s="98">
        <v>1</v>
      </c>
      <c r="E31" s="99" t="s">
        <v>220</v>
      </c>
    </row>
    <row r="32" spans="2:5" x14ac:dyDescent="0.2">
      <c r="B32" s="220" t="s">
        <v>221</v>
      </c>
      <c r="C32" s="220"/>
      <c r="D32" s="98">
        <v>1</v>
      </c>
      <c r="E32" s="99" t="s">
        <v>222</v>
      </c>
    </row>
    <row r="33" spans="2:5" x14ac:dyDescent="0.2">
      <c r="B33" s="220" t="s">
        <v>256</v>
      </c>
      <c r="C33" s="220"/>
      <c r="D33" s="98">
        <v>1</v>
      </c>
      <c r="E33" s="99" t="s">
        <v>223</v>
      </c>
    </row>
    <row r="34" spans="2:5" x14ac:dyDescent="0.2">
      <c r="B34" s="220" t="s">
        <v>224</v>
      </c>
      <c r="C34" s="220"/>
      <c r="D34" s="98">
        <v>1</v>
      </c>
      <c r="E34" s="99" t="s">
        <v>225</v>
      </c>
    </row>
    <row r="35" spans="2:5" x14ac:dyDescent="0.2">
      <c r="B35" s="220" t="s">
        <v>226</v>
      </c>
      <c r="C35" s="220"/>
      <c r="D35" s="98">
        <v>1</v>
      </c>
      <c r="E35" s="99" t="s">
        <v>227</v>
      </c>
    </row>
    <row r="36" spans="2:5" x14ac:dyDescent="0.2">
      <c r="B36" s="220" t="s">
        <v>228</v>
      </c>
      <c r="C36" s="220"/>
      <c r="D36" s="98">
        <v>1</v>
      </c>
      <c r="E36" s="99" t="s">
        <v>229</v>
      </c>
    </row>
    <row r="37" spans="2:5" x14ac:dyDescent="0.2">
      <c r="B37" s="220" t="s">
        <v>230</v>
      </c>
      <c r="C37" s="220"/>
      <c r="D37" s="98">
        <v>1</v>
      </c>
      <c r="E37" s="99" t="s">
        <v>231</v>
      </c>
    </row>
    <row r="38" spans="2:5" x14ac:dyDescent="0.2">
      <c r="B38" s="220" t="s">
        <v>232</v>
      </c>
      <c r="C38" s="220"/>
      <c r="D38" s="98">
        <v>1</v>
      </c>
      <c r="E38" s="99" t="s">
        <v>233</v>
      </c>
    </row>
    <row r="39" spans="2:5" x14ac:dyDescent="0.2">
      <c r="B39" s="220" t="s">
        <v>234</v>
      </c>
      <c r="C39" s="220"/>
      <c r="D39" s="98">
        <v>1</v>
      </c>
      <c r="E39" s="99" t="s">
        <v>235</v>
      </c>
    </row>
    <row r="40" spans="2:5" ht="13.5" thickBot="1" x14ac:dyDescent="0.25">
      <c r="B40" s="221" t="s">
        <v>257</v>
      </c>
      <c r="C40" s="221"/>
      <c r="D40" s="100">
        <v>1</v>
      </c>
      <c r="E40" s="101" t="s">
        <v>258</v>
      </c>
    </row>
    <row r="41" spans="2:5" ht="24.75" customHeight="1" thickBot="1" x14ac:dyDescent="0.25">
      <c r="B41" s="222" t="s">
        <v>246</v>
      </c>
      <c r="C41" s="223"/>
      <c r="D41" s="223"/>
      <c r="E41" s="224"/>
    </row>
    <row r="42" spans="2:5" x14ac:dyDescent="0.2">
      <c r="B42" s="14" t="s">
        <v>18</v>
      </c>
      <c r="C42" s="12"/>
      <c r="D42" s="12"/>
      <c r="E42" s="13"/>
    </row>
    <row r="43" spans="2:5" x14ac:dyDescent="0.2">
      <c r="B43" s="15"/>
      <c r="C43" s="190" t="s">
        <v>24</v>
      </c>
      <c r="D43" s="190"/>
      <c r="E43" s="190"/>
    </row>
    <row r="44" spans="2:5" x14ac:dyDescent="0.2">
      <c r="B44" s="14" t="s">
        <v>19</v>
      </c>
      <c r="C44" s="16"/>
      <c r="D44" s="16"/>
      <c r="E44" s="17"/>
    </row>
    <row r="45" spans="2:5" x14ac:dyDescent="0.2">
      <c r="B45" s="15"/>
      <c r="C45" s="190" t="s">
        <v>101</v>
      </c>
      <c r="D45" s="190"/>
      <c r="E45" s="190"/>
    </row>
    <row r="46" spans="2:5" x14ac:dyDescent="0.2">
      <c r="B46" s="14" t="s">
        <v>20</v>
      </c>
      <c r="C46" s="12"/>
      <c r="D46" s="12"/>
      <c r="E46" s="13"/>
    </row>
    <row r="47" spans="2:5" x14ac:dyDescent="0.2">
      <c r="B47" s="14"/>
      <c r="C47" s="189" t="s">
        <v>25</v>
      </c>
      <c r="D47" s="189"/>
      <c r="E47" s="189"/>
    </row>
    <row r="48" spans="2:5" ht="13.5" thickBot="1" x14ac:dyDescent="0.25">
      <c r="B48" s="18"/>
      <c r="C48" s="19"/>
      <c r="D48" s="19"/>
      <c r="E48" s="20"/>
    </row>
    <row r="50" spans="2:5" x14ac:dyDescent="0.2">
      <c r="B50" s="8" t="s">
        <v>21</v>
      </c>
      <c r="C50" s="9"/>
      <c r="D50" s="9"/>
      <c r="E50" s="10"/>
    </row>
    <row r="51" spans="2:5" x14ac:dyDescent="0.2">
      <c r="B51" s="11"/>
      <c r="C51" s="12"/>
      <c r="D51" s="12"/>
      <c r="E51" s="13"/>
    </row>
    <row r="52" spans="2:5" x14ac:dyDescent="0.2">
      <c r="B52" s="14" t="s">
        <v>16</v>
      </c>
      <c r="C52" s="12"/>
      <c r="D52" s="12"/>
      <c r="E52" s="13"/>
    </row>
    <row r="53" spans="2:5" x14ac:dyDescent="0.2">
      <c r="B53" s="14"/>
      <c r="C53" s="180" t="s">
        <v>89</v>
      </c>
      <c r="D53" s="180"/>
      <c r="E53" s="181"/>
    </row>
    <row r="54" spans="2:5" ht="13.5" thickBot="1" x14ac:dyDescent="0.25">
      <c r="B54" s="14" t="s">
        <v>17</v>
      </c>
      <c r="C54" s="12"/>
      <c r="D54" s="12"/>
      <c r="E54" s="13"/>
    </row>
    <row r="55" spans="2:5" ht="13.5" thickBot="1" x14ac:dyDescent="0.25">
      <c r="B55" s="176" t="s">
        <v>98</v>
      </c>
      <c r="C55" s="177"/>
      <c r="D55" s="177"/>
      <c r="E55" s="178"/>
    </row>
    <row r="56" spans="2:5" ht="13.5" thickBot="1" x14ac:dyDescent="0.25">
      <c r="B56" s="176" t="s">
        <v>99</v>
      </c>
      <c r="C56" s="178"/>
      <c r="D56" s="50" t="s">
        <v>11</v>
      </c>
      <c r="E56" s="50" t="s">
        <v>100</v>
      </c>
    </row>
    <row r="57" spans="2:5" x14ac:dyDescent="0.2">
      <c r="B57" s="225" t="s">
        <v>251</v>
      </c>
      <c r="C57" s="225"/>
      <c r="D57" s="102">
        <v>1</v>
      </c>
      <c r="E57" s="103" t="s">
        <v>250</v>
      </c>
    </row>
    <row r="58" spans="2:5" x14ac:dyDescent="0.2">
      <c r="B58" s="220" t="s">
        <v>252</v>
      </c>
      <c r="C58" s="220"/>
      <c r="D58" s="98">
        <v>1</v>
      </c>
      <c r="E58" s="99" t="s">
        <v>207</v>
      </c>
    </row>
    <row r="59" spans="2:5" x14ac:dyDescent="0.2">
      <c r="B59" s="220" t="s">
        <v>254</v>
      </c>
      <c r="C59" s="220"/>
      <c r="D59" s="98">
        <v>1</v>
      </c>
      <c r="E59" s="99" t="s">
        <v>208</v>
      </c>
    </row>
    <row r="60" spans="2:5" x14ac:dyDescent="0.2">
      <c r="B60" s="220" t="s">
        <v>253</v>
      </c>
      <c r="C60" s="220"/>
      <c r="D60" s="98">
        <v>1</v>
      </c>
      <c r="E60" s="99" t="s">
        <v>209</v>
      </c>
    </row>
    <row r="61" spans="2:5" x14ac:dyDescent="0.2">
      <c r="B61" s="220" t="s">
        <v>248</v>
      </c>
      <c r="C61" s="220"/>
      <c r="D61" s="98">
        <v>1</v>
      </c>
      <c r="E61" s="99" t="s">
        <v>249</v>
      </c>
    </row>
    <row r="62" spans="2:5" x14ac:dyDescent="0.2">
      <c r="B62" s="220" t="s">
        <v>210</v>
      </c>
      <c r="C62" s="220"/>
      <c r="D62" s="98">
        <v>1</v>
      </c>
      <c r="E62" s="99" t="s">
        <v>211</v>
      </c>
    </row>
    <row r="63" spans="2:5" x14ac:dyDescent="0.2">
      <c r="B63" s="220" t="s">
        <v>212</v>
      </c>
      <c r="C63" s="220"/>
      <c r="D63" s="98">
        <v>1</v>
      </c>
      <c r="E63" s="99" t="s">
        <v>213</v>
      </c>
    </row>
    <row r="64" spans="2:5" x14ac:dyDescent="0.2">
      <c r="B64" s="220" t="s">
        <v>214</v>
      </c>
      <c r="C64" s="220"/>
      <c r="D64" s="98">
        <v>1</v>
      </c>
      <c r="E64" s="99" t="s">
        <v>215</v>
      </c>
    </row>
    <row r="65" spans="2:5" x14ac:dyDescent="0.2">
      <c r="B65" s="220" t="s">
        <v>216</v>
      </c>
      <c r="C65" s="220"/>
      <c r="D65" s="98">
        <v>1</v>
      </c>
      <c r="E65" s="99" t="s">
        <v>217</v>
      </c>
    </row>
    <row r="66" spans="2:5" x14ac:dyDescent="0.2">
      <c r="B66" s="220" t="s">
        <v>255</v>
      </c>
      <c r="C66" s="220"/>
      <c r="D66" s="98">
        <v>1</v>
      </c>
      <c r="E66" s="99" t="s">
        <v>218</v>
      </c>
    </row>
    <row r="67" spans="2:5" x14ac:dyDescent="0.2">
      <c r="B67" s="220" t="s">
        <v>219</v>
      </c>
      <c r="C67" s="220"/>
      <c r="D67" s="98">
        <v>1</v>
      </c>
      <c r="E67" s="99" t="s">
        <v>220</v>
      </c>
    </row>
    <row r="68" spans="2:5" x14ac:dyDescent="0.2">
      <c r="B68" s="220" t="s">
        <v>221</v>
      </c>
      <c r="C68" s="220"/>
      <c r="D68" s="98">
        <v>1</v>
      </c>
      <c r="E68" s="99" t="s">
        <v>222</v>
      </c>
    </row>
    <row r="69" spans="2:5" x14ac:dyDescent="0.2">
      <c r="B69" s="220" t="s">
        <v>256</v>
      </c>
      <c r="C69" s="220"/>
      <c r="D69" s="98">
        <v>1</v>
      </c>
      <c r="E69" s="99" t="s">
        <v>223</v>
      </c>
    </row>
    <row r="70" spans="2:5" x14ac:dyDescent="0.2">
      <c r="B70" s="220" t="s">
        <v>224</v>
      </c>
      <c r="C70" s="220"/>
      <c r="D70" s="98">
        <v>1</v>
      </c>
      <c r="E70" s="99" t="s">
        <v>225</v>
      </c>
    </row>
    <row r="71" spans="2:5" x14ac:dyDescent="0.2">
      <c r="B71" s="220" t="s">
        <v>226</v>
      </c>
      <c r="C71" s="220"/>
      <c r="D71" s="98">
        <v>1</v>
      </c>
      <c r="E71" s="99" t="s">
        <v>227</v>
      </c>
    </row>
    <row r="72" spans="2:5" x14ac:dyDescent="0.2">
      <c r="B72" s="220" t="s">
        <v>228</v>
      </c>
      <c r="C72" s="220"/>
      <c r="D72" s="98">
        <v>1</v>
      </c>
      <c r="E72" s="99" t="s">
        <v>229</v>
      </c>
    </row>
    <row r="73" spans="2:5" x14ac:dyDescent="0.2">
      <c r="B73" s="220" t="s">
        <v>230</v>
      </c>
      <c r="C73" s="220"/>
      <c r="D73" s="98">
        <v>1</v>
      </c>
      <c r="E73" s="99" t="s">
        <v>231</v>
      </c>
    </row>
    <row r="74" spans="2:5" x14ac:dyDescent="0.2">
      <c r="B74" s="220" t="s">
        <v>232</v>
      </c>
      <c r="C74" s="220"/>
      <c r="D74" s="98">
        <v>1</v>
      </c>
      <c r="E74" s="99" t="s">
        <v>233</v>
      </c>
    </row>
    <row r="75" spans="2:5" x14ac:dyDescent="0.2">
      <c r="B75" s="220" t="s">
        <v>234</v>
      </c>
      <c r="C75" s="220"/>
      <c r="D75" s="98">
        <v>1</v>
      </c>
      <c r="E75" s="99" t="s">
        <v>235</v>
      </c>
    </row>
    <row r="76" spans="2:5" ht="13.5" thickBot="1" x14ac:dyDescent="0.25">
      <c r="B76" s="220" t="s">
        <v>257</v>
      </c>
      <c r="C76" s="220"/>
      <c r="D76" s="98">
        <v>1</v>
      </c>
      <c r="E76" s="99" t="s">
        <v>258</v>
      </c>
    </row>
    <row r="77" spans="2:5" ht="24.75" customHeight="1" thickBot="1" x14ac:dyDescent="0.25">
      <c r="B77" s="222" t="s">
        <v>246</v>
      </c>
      <c r="C77" s="223"/>
      <c r="D77" s="223"/>
      <c r="E77" s="224"/>
    </row>
    <row r="78" spans="2:5" x14ac:dyDescent="0.2">
      <c r="B78" s="14" t="s">
        <v>18</v>
      </c>
      <c r="C78" s="12"/>
      <c r="D78" s="12"/>
      <c r="E78" s="13"/>
    </row>
    <row r="79" spans="2:5" x14ac:dyDescent="0.2">
      <c r="B79" s="15"/>
      <c r="C79" s="190" t="s">
        <v>24</v>
      </c>
      <c r="D79" s="190"/>
      <c r="E79" s="190"/>
    </row>
    <row r="80" spans="2:5" x14ac:dyDescent="0.2">
      <c r="B80" s="14" t="s">
        <v>19</v>
      </c>
      <c r="C80" s="16"/>
      <c r="D80" s="16"/>
      <c r="E80" s="17"/>
    </row>
    <row r="81" spans="2:5" x14ac:dyDescent="0.2">
      <c r="B81" s="15"/>
      <c r="C81" s="190" t="s">
        <v>101</v>
      </c>
      <c r="D81" s="190"/>
      <c r="E81" s="190"/>
    </row>
    <row r="82" spans="2:5" x14ac:dyDescent="0.2">
      <c r="B82" s="14" t="s">
        <v>20</v>
      </c>
      <c r="C82" s="12"/>
      <c r="D82" s="12"/>
      <c r="E82" s="13"/>
    </row>
    <row r="83" spans="2:5" x14ac:dyDescent="0.2">
      <c r="B83" s="14"/>
      <c r="C83" s="189" t="s">
        <v>25</v>
      </c>
      <c r="D83" s="189"/>
      <c r="E83" s="189"/>
    </row>
    <row r="84" spans="2:5" ht="13.5" thickBot="1" x14ac:dyDescent="0.25">
      <c r="B84" s="18"/>
      <c r="C84" s="19"/>
      <c r="D84" s="19"/>
      <c r="E84" s="20"/>
    </row>
    <row r="85" spans="2:5" ht="13.5" thickBot="1" x14ac:dyDescent="0.25"/>
    <row r="86" spans="2:5" x14ac:dyDescent="0.2">
      <c r="B86" s="8" t="s">
        <v>26</v>
      </c>
      <c r="C86" s="9"/>
      <c r="D86" s="9"/>
      <c r="E86" s="10"/>
    </row>
    <row r="87" spans="2:5" x14ac:dyDescent="0.2">
      <c r="B87" s="11"/>
      <c r="C87" s="12"/>
      <c r="D87" s="12"/>
      <c r="E87" s="13"/>
    </row>
    <row r="88" spans="2:5" x14ac:dyDescent="0.2">
      <c r="B88" s="14" t="s">
        <v>16</v>
      </c>
      <c r="C88" s="12"/>
      <c r="D88" s="12"/>
      <c r="E88" s="13"/>
    </row>
    <row r="89" spans="2:5" x14ac:dyDescent="0.2">
      <c r="B89" s="14"/>
      <c r="C89" s="180" t="s">
        <v>89</v>
      </c>
      <c r="D89" s="180"/>
      <c r="E89" s="181"/>
    </row>
    <row r="90" spans="2:5" ht="13.5" thickBot="1" x14ac:dyDescent="0.25">
      <c r="B90" s="14" t="s">
        <v>17</v>
      </c>
      <c r="C90" s="12"/>
      <c r="D90" s="12"/>
      <c r="E90" s="13"/>
    </row>
    <row r="91" spans="2:5" ht="13.5" thickBot="1" x14ac:dyDescent="0.25">
      <c r="B91" s="176" t="s">
        <v>98</v>
      </c>
      <c r="C91" s="177"/>
      <c r="D91" s="177"/>
      <c r="E91" s="178"/>
    </row>
    <row r="92" spans="2:5" ht="13.5" thickBot="1" x14ac:dyDescent="0.25">
      <c r="B92" s="176" t="s">
        <v>99</v>
      </c>
      <c r="C92" s="178"/>
      <c r="D92" s="50" t="s">
        <v>11</v>
      </c>
      <c r="E92" s="50" t="s">
        <v>100</v>
      </c>
    </row>
    <row r="93" spans="2:5" x14ac:dyDescent="0.2">
      <c r="B93" s="225" t="s">
        <v>251</v>
      </c>
      <c r="C93" s="225"/>
      <c r="D93" s="102">
        <v>1</v>
      </c>
      <c r="E93" s="103" t="s">
        <v>250</v>
      </c>
    </row>
    <row r="94" spans="2:5" x14ac:dyDescent="0.2">
      <c r="B94" s="220" t="s">
        <v>252</v>
      </c>
      <c r="C94" s="220"/>
      <c r="D94" s="98">
        <v>1</v>
      </c>
      <c r="E94" s="99" t="s">
        <v>207</v>
      </c>
    </row>
    <row r="95" spans="2:5" x14ac:dyDescent="0.2">
      <c r="B95" s="220" t="s">
        <v>254</v>
      </c>
      <c r="C95" s="220"/>
      <c r="D95" s="98">
        <v>1</v>
      </c>
      <c r="E95" s="99" t="s">
        <v>208</v>
      </c>
    </row>
    <row r="96" spans="2:5" x14ac:dyDescent="0.2">
      <c r="B96" s="220" t="s">
        <v>253</v>
      </c>
      <c r="C96" s="220"/>
      <c r="D96" s="98">
        <v>1</v>
      </c>
      <c r="E96" s="99" t="s">
        <v>209</v>
      </c>
    </row>
    <row r="97" spans="2:5" x14ac:dyDescent="0.2">
      <c r="B97" s="220" t="s">
        <v>248</v>
      </c>
      <c r="C97" s="220"/>
      <c r="D97" s="98">
        <v>1</v>
      </c>
      <c r="E97" s="99" t="s">
        <v>249</v>
      </c>
    </row>
    <row r="98" spans="2:5" x14ac:dyDescent="0.2">
      <c r="B98" s="220" t="s">
        <v>210</v>
      </c>
      <c r="C98" s="220"/>
      <c r="D98" s="98">
        <v>1</v>
      </c>
      <c r="E98" s="99" t="s">
        <v>211</v>
      </c>
    </row>
    <row r="99" spans="2:5" x14ac:dyDescent="0.2">
      <c r="B99" s="220" t="s">
        <v>212</v>
      </c>
      <c r="C99" s="220"/>
      <c r="D99" s="98">
        <v>1</v>
      </c>
      <c r="E99" s="99" t="s">
        <v>213</v>
      </c>
    </row>
    <row r="100" spans="2:5" x14ac:dyDescent="0.2">
      <c r="B100" s="220" t="s">
        <v>214</v>
      </c>
      <c r="C100" s="220"/>
      <c r="D100" s="98">
        <v>1</v>
      </c>
      <c r="E100" s="99" t="s">
        <v>215</v>
      </c>
    </row>
    <row r="101" spans="2:5" x14ac:dyDescent="0.2">
      <c r="B101" s="220" t="s">
        <v>216</v>
      </c>
      <c r="C101" s="220"/>
      <c r="D101" s="98">
        <v>1</v>
      </c>
      <c r="E101" s="99" t="s">
        <v>217</v>
      </c>
    </row>
    <row r="102" spans="2:5" x14ac:dyDescent="0.2">
      <c r="B102" s="220" t="s">
        <v>255</v>
      </c>
      <c r="C102" s="220"/>
      <c r="D102" s="98">
        <v>1</v>
      </c>
      <c r="E102" s="99" t="s">
        <v>218</v>
      </c>
    </row>
    <row r="103" spans="2:5" x14ac:dyDescent="0.2">
      <c r="B103" s="220" t="s">
        <v>219</v>
      </c>
      <c r="C103" s="220"/>
      <c r="D103" s="98">
        <v>1</v>
      </c>
      <c r="E103" s="99" t="s">
        <v>220</v>
      </c>
    </row>
    <row r="104" spans="2:5" x14ac:dyDescent="0.2">
      <c r="B104" s="220" t="s">
        <v>221</v>
      </c>
      <c r="C104" s="220"/>
      <c r="D104" s="98">
        <v>1</v>
      </c>
      <c r="E104" s="99" t="s">
        <v>222</v>
      </c>
    </row>
    <row r="105" spans="2:5" x14ac:dyDescent="0.2">
      <c r="B105" s="220" t="s">
        <v>256</v>
      </c>
      <c r="C105" s="220"/>
      <c r="D105" s="98">
        <v>1</v>
      </c>
      <c r="E105" s="99" t="s">
        <v>223</v>
      </c>
    </row>
    <row r="106" spans="2:5" x14ac:dyDescent="0.2">
      <c r="B106" s="220" t="s">
        <v>224</v>
      </c>
      <c r="C106" s="220"/>
      <c r="D106" s="98">
        <v>1</v>
      </c>
      <c r="E106" s="99" t="s">
        <v>225</v>
      </c>
    </row>
    <row r="107" spans="2:5" x14ac:dyDescent="0.2">
      <c r="B107" s="220" t="s">
        <v>226</v>
      </c>
      <c r="C107" s="220"/>
      <c r="D107" s="98">
        <v>1</v>
      </c>
      <c r="E107" s="99" t="s">
        <v>227</v>
      </c>
    </row>
    <row r="108" spans="2:5" x14ac:dyDescent="0.2">
      <c r="B108" s="220" t="s">
        <v>228</v>
      </c>
      <c r="C108" s="220"/>
      <c r="D108" s="98">
        <v>1</v>
      </c>
      <c r="E108" s="99" t="s">
        <v>229</v>
      </c>
    </row>
    <row r="109" spans="2:5" x14ac:dyDescent="0.2">
      <c r="B109" s="220" t="s">
        <v>230</v>
      </c>
      <c r="C109" s="220"/>
      <c r="D109" s="98">
        <v>1</v>
      </c>
      <c r="E109" s="99" t="s">
        <v>231</v>
      </c>
    </row>
    <row r="110" spans="2:5" x14ac:dyDescent="0.2">
      <c r="B110" s="220" t="s">
        <v>232</v>
      </c>
      <c r="C110" s="220"/>
      <c r="D110" s="98">
        <v>1</v>
      </c>
      <c r="E110" s="99" t="s">
        <v>233</v>
      </c>
    </row>
    <row r="111" spans="2:5" x14ac:dyDescent="0.2">
      <c r="B111" s="220" t="s">
        <v>234</v>
      </c>
      <c r="C111" s="220"/>
      <c r="D111" s="98">
        <v>1</v>
      </c>
      <c r="E111" s="99" t="s">
        <v>235</v>
      </c>
    </row>
    <row r="112" spans="2:5" ht="13.5" thickBot="1" x14ac:dyDescent="0.25">
      <c r="B112" s="221" t="s">
        <v>257</v>
      </c>
      <c r="C112" s="221"/>
      <c r="D112" s="100">
        <v>1</v>
      </c>
      <c r="E112" s="101" t="s">
        <v>258</v>
      </c>
    </row>
    <row r="113" spans="2:5" ht="24.75" customHeight="1" thickBot="1" x14ac:dyDescent="0.25">
      <c r="B113" s="222" t="s">
        <v>246</v>
      </c>
      <c r="C113" s="223"/>
      <c r="D113" s="223"/>
      <c r="E113" s="224"/>
    </row>
    <row r="114" spans="2:5" x14ac:dyDescent="0.2">
      <c r="B114" s="14" t="s">
        <v>18</v>
      </c>
      <c r="C114" s="12"/>
      <c r="D114" s="12"/>
      <c r="E114" s="13"/>
    </row>
    <row r="115" spans="2:5" x14ac:dyDescent="0.2">
      <c r="B115" s="15"/>
      <c r="C115" s="190" t="s">
        <v>24</v>
      </c>
      <c r="D115" s="190"/>
      <c r="E115" s="190"/>
    </row>
    <row r="116" spans="2:5" x14ac:dyDescent="0.2">
      <c r="B116" s="14" t="s">
        <v>19</v>
      </c>
      <c r="C116" s="16"/>
      <c r="D116" s="16"/>
      <c r="E116" s="17"/>
    </row>
    <row r="117" spans="2:5" x14ac:dyDescent="0.2">
      <c r="B117" s="15"/>
      <c r="C117" s="190" t="s">
        <v>101</v>
      </c>
      <c r="D117" s="190"/>
      <c r="E117" s="190"/>
    </row>
    <row r="118" spans="2:5" x14ac:dyDescent="0.2">
      <c r="B118" s="14" t="s">
        <v>20</v>
      </c>
      <c r="C118" s="12"/>
      <c r="D118" s="12"/>
      <c r="E118" s="13"/>
    </row>
    <row r="119" spans="2:5" x14ac:dyDescent="0.2">
      <c r="B119" s="14"/>
      <c r="C119" s="189" t="s">
        <v>25</v>
      </c>
      <c r="D119" s="189"/>
      <c r="E119" s="189"/>
    </row>
    <row r="120" spans="2:5" ht="13.5" thickBot="1" x14ac:dyDescent="0.25">
      <c r="B120" s="18"/>
      <c r="C120" s="19"/>
      <c r="D120" s="19"/>
      <c r="E120" s="20"/>
    </row>
  </sheetData>
  <mergeCells count="88">
    <mergeCell ref="A5:B5"/>
    <mergeCell ref="B1:H1"/>
    <mergeCell ref="A3:B3"/>
    <mergeCell ref="C3:E3"/>
    <mergeCell ref="A4:B4"/>
    <mergeCell ref="C4:E4"/>
    <mergeCell ref="B28:C28"/>
    <mergeCell ref="A6:B6"/>
    <mergeCell ref="C17:E17"/>
    <mergeCell ref="B19:E19"/>
    <mergeCell ref="B20:C20"/>
    <mergeCell ref="B21:C21"/>
    <mergeCell ref="B22:C22"/>
    <mergeCell ref="B23:C23"/>
    <mergeCell ref="B24:C24"/>
    <mergeCell ref="B25:C25"/>
    <mergeCell ref="B26:C26"/>
    <mergeCell ref="B27:C27"/>
    <mergeCell ref="B40:C40"/>
    <mergeCell ref="B29:C29"/>
    <mergeCell ref="B30:C30"/>
    <mergeCell ref="B31:C31"/>
    <mergeCell ref="B32:C32"/>
    <mergeCell ref="B33:C33"/>
    <mergeCell ref="B34:C34"/>
    <mergeCell ref="B35:C35"/>
    <mergeCell ref="B36:C36"/>
    <mergeCell ref="B37:C37"/>
    <mergeCell ref="B38:C38"/>
    <mergeCell ref="B39:C39"/>
    <mergeCell ref="B62:C62"/>
    <mergeCell ref="C43:E43"/>
    <mergeCell ref="C45:E45"/>
    <mergeCell ref="C47:E47"/>
    <mergeCell ref="C53:E53"/>
    <mergeCell ref="B55:E55"/>
    <mergeCell ref="B56:C56"/>
    <mergeCell ref="B57:C57"/>
    <mergeCell ref="B58:C58"/>
    <mergeCell ref="B59:C59"/>
    <mergeCell ref="B60:C60"/>
    <mergeCell ref="B61:C61"/>
    <mergeCell ref="B104:C104"/>
    <mergeCell ref="B74:C74"/>
    <mergeCell ref="B63:C63"/>
    <mergeCell ref="B64:C64"/>
    <mergeCell ref="B65:C65"/>
    <mergeCell ref="B66:C66"/>
    <mergeCell ref="B67:C67"/>
    <mergeCell ref="B68:C68"/>
    <mergeCell ref="B69:C69"/>
    <mergeCell ref="B70:C70"/>
    <mergeCell ref="B71:C71"/>
    <mergeCell ref="B72:C72"/>
    <mergeCell ref="B73:C73"/>
    <mergeCell ref="B93:C93"/>
    <mergeCell ref="B94:C94"/>
    <mergeCell ref="B95:C95"/>
    <mergeCell ref="B102:C102"/>
    <mergeCell ref="B103:C103"/>
    <mergeCell ref="C81:E81"/>
    <mergeCell ref="C83:E83"/>
    <mergeCell ref="C89:E89"/>
    <mergeCell ref="B91:E91"/>
    <mergeCell ref="B92:C92"/>
    <mergeCell ref="B105:C105"/>
    <mergeCell ref="B106:C106"/>
    <mergeCell ref="B41:E41"/>
    <mergeCell ref="B113:E113"/>
    <mergeCell ref="B77:E77"/>
    <mergeCell ref="B108:C108"/>
    <mergeCell ref="B97:C97"/>
    <mergeCell ref="B98:C98"/>
    <mergeCell ref="B99:C99"/>
    <mergeCell ref="B100:C100"/>
    <mergeCell ref="B101:C101"/>
    <mergeCell ref="B107:C107"/>
    <mergeCell ref="B96:C96"/>
    <mergeCell ref="B75:C75"/>
    <mergeCell ref="B76:C76"/>
    <mergeCell ref="C79:E79"/>
    <mergeCell ref="C119:E119"/>
    <mergeCell ref="B109:C109"/>
    <mergeCell ref="B110:C110"/>
    <mergeCell ref="B111:C111"/>
    <mergeCell ref="B112:C112"/>
    <mergeCell ref="C115:E115"/>
    <mergeCell ref="C117:E117"/>
  </mergeCells>
  <pageMargins left="0.41" right="0.44" top="0.33" bottom="0.33" header="0.31496062992125984" footer="0.31496062992125984"/>
  <pageSetup paperSize="5" scale="75"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gas</vt:lpstr>
      <vt:lpstr>limpieza</vt:lpstr>
      <vt:lpstr>alimento</vt:lpstr>
      <vt:lpstr>Necesidades Trimestrales AP</vt:lpstr>
      <vt:lpstr>LIM-IMP</vt:lpstr>
      <vt:lpstr>limpieza!Área_de_impresión</vt:lpstr>
      <vt:lpstr>'Necesidades Trimestrales AP'!Área_de_impresión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2022-07-26T12:05:54Z</cp:lastPrinted>
  <dcterms:created xsi:type="dcterms:W3CDTF">2020-07-17T23:44:49Z</dcterms:created>
  <dcterms:modified xsi:type="dcterms:W3CDTF">2022-08-24T16:15:00Z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