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1840" windowHeight="13740" activeTab="2"/>
  </bookViews>
  <sheets>
    <sheet name="NECESIDADES TRIMESTRALES" sheetId="1" r:id="rId1"/>
    <sheet name="NOTA DE PEDIDO" sheetId="2" r:id="rId2"/>
    <sheet name="AUTORIZACION PARA GASTAR" sheetId="3" r:id="rId3"/>
  </sheets>
  <externalReferences>
    <externalReference r:id="rId4"/>
  </externalReferences>
  <definedNames>
    <definedName name="_xlnm.Print_Area" localSheetId="2">'AUTORIZACION PARA GASTAR'!$A$1:$Q$29</definedName>
    <definedName name="_xlnm.Print_Area" localSheetId="1">'NOTA DE PEDIDO'!$A$1:$K$13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3"/>
  <c r="J12" i="2" l="1"/>
  <c r="I12"/>
  <c r="C12"/>
  <c r="B12"/>
  <c r="Q23" i="3"/>
  <c r="A10"/>
  <c r="G4"/>
  <c r="D1"/>
  <c r="D3" i="2"/>
  <c r="I10" i="1"/>
  <c r="J13" i="2" l="1"/>
</calcChain>
</file>

<file path=xl/sharedStrings.xml><?xml version="1.0" encoding="utf-8"?>
<sst xmlns="http://schemas.openxmlformats.org/spreadsheetml/2006/main" count="78" uniqueCount="68">
  <si>
    <t>JURISDICCION:</t>
  </si>
  <si>
    <t>040 - Ministerio de Salud</t>
  </si>
  <si>
    <t xml:space="preserve">SAF N°: </t>
  </si>
  <si>
    <t>EJERCICIO:</t>
  </si>
  <si>
    <t>TRIMESTRE:</t>
  </si>
  <si>
    <t>ELEMENTOS DE LIMPIEZA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</si>
  <si>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</si>
  <si>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</si>
  <si>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</si>
  <si>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</si>
  <si>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</si>
  <si>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</si>
  <si>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</si>
  <si>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</si>
  <si>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</si>
  <si>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</si>
  <si>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BOTELLA</t>
  </si>
  <si>
    <t>2.5.2-711.15</t>
  </si>
  <si>
    <t>ALCOHOL USO MEDICINAL; PUREZA: 70 %, PRESENTACION: ENVASE X 1 L</t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</si>
  <si>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</si>
  <si>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</si>
  <si>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</si>
  <si>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</si>
  <si>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</si>
  <si>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</si>
  <si>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</si>
  <si>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</si>
  <si>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Semestral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</si>
  <si>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</si>
  <si>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</si>
  <si>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</si>
  <si>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</si>
  <si>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</si>
  <si>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</si>
  <si>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</si>
  <si>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</si>
  <si>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</si>
  <si>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</si>
  <si>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</si>
  <si>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</si>
  <si>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</si>
  <si>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</si>
  <si>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</si>
  <si>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</si>
  <si>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</si>
  <si>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</si>
  <si>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</si>
  <si>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</si>
  <si>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</si>
  <si>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</si>
  <si>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</si>
  <si>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</si>
  <si>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</si>
  <si>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</si>
  <si>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</si>
  <si>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</si>
  <si>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</si>
  <si>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</si>
  <si>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</si>
  <si>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</si>
  <si>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Product. Farmaceut. Y Medicinales</t>
  </si>
  <si>
    <t>011 - Secretaria de Administracion</t>
  </si>
  <si>
    <t>011- Secretaria de Administracion- Ministerio de Salud</t>
  </si>
  <si>
    <t>468- Direccion Provincial de Laboratorio</t>
  </si>
  <si>
    <t>CUADRO DE PEDIDO ACUERDO MARCO</t>
  </si>
  <si>
    <t>Costo total estimado: DOSCIENTOS NOVENTA Y NUEVE MIL OCHOCIENTOS SESENTA CON 00/100.</t>
  </si>
  <si>
    <t>Adquisición de ANTISEPTICOS Y DESINFECTANTES- Acuerdo Marco 100-4-AM22</t>
  </si>
  <si>
    <t>TOTAL DE PESOS: DOSCIENTOS NOVENTA Y NUEVE MIL OCHOCIENTOS SESENTA CON 00/100.</t>
  </si>
</sst>
</file>

<file path=xl/styles.xml><?xml version="1.0" encoding="utf-8"?>
<styleSheet xmlns="http://schemas.openxmlformats.org/spreadsheetml/2006/main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&quot;$&quot;\ #,##0.00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0D9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169" fontId="17" fillId="0" borderId="0" applyBorder="0" applyProtection="0"/>
  </cellStyleXfs>
  <cellXfs count="121">
    <xf numFmtId="0" fontId="0" fillId="0" borderId="0" xfId="0"/>
    <xf numFmtId="0" fontId="3" fillId="2" borderId="0" xfId="0" applyFont="1" applyFill="1"/>
    <xf numFmtId="164" fontId="3" fillId="2" borderId="0" xfId="0" applyNumberFormat="1" applyFont="1" applyFill="1"/>
    <xf numFmtId="0" fontId="6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left" vertical="center"/>
    </xf>
    <xf numFmtId="164" fontId="10" fillId="3" borderId="1" xfId="1" applyNumberFormat="1" applyFont="1" applyFill="1" applyBorder="1" applyAlignment="1" applyProtection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 indent="1"/>
    </xf>
    <xf numFmtId="0" fontId="16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3" fontId="16" fillId="2" borderId="12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3" fontId="18" fillId="0" borderId="0" xfId="0" applyNumberFormat="1" applyFo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0" fontId="23" fillId="2" borderId="0" xfId="0" applyFont="1" applyFill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164" fontId="9" fillId="2" borderId="46" xfId="0" applyNumberFormat="1" applyFont="1" applyFill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horizontal="center" vertical="center"/>
    </xf>
    <xf numFmtId="166" fontId="16" fillId="2" borderId="12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wrapText="1"/>
    </xf>
    <xf numFmtId="164" fontId="3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0" fontId="6" fillId="0" borderId="0" xfId="0" applyFont="1" applyFill="1" applyAlignment="1">
      <alignment horizontal="left" wrapText="1" indent="1"/>
    </xf>
    <xf numFmtId="0" fontId="8" fillId="0" borderId="0" xfId="0" applyFont="1" applyFill="1" applyAlignment="1">
      <alignment horizontal="left" wrapText="1"/>
    </xf>
    <xf numFmtId="0" fontId="0" fillId="0" borderId="32" xfId="0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 indent="1"/>
    </xf>
    <xf numFmtId="167" fontId="14" fillId="2" borderId="7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 indent="1"/>
    </xf>
    <xf numFmtId="0" fontId="15" fillId="2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7" fillId="0" borderId="4" xfId="0" applyFont="1" applyBorder="1"/>
    <xf numFmtId="0" fontId="20" fillId="0" borderId="4" xfId="0" applyFont="1" applyBorder="1" applyAlignment="1">
      <alignment horizontal="left" indent="1"/>
    </xf>
    <xf numFmtId="0" fontId="14" fillId="0" borderId="8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 inden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 wrapText="1" indent="1"/>
    </xf>
    <xf numFmtId="0" fontId="16" fillId="0" borderId="6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left" indent="1"/>
    </xf>
    <xf numFmtId="0" fontId="21" fillId="0" borderId="4" xfId="0" applyFont="1" applyFill="1" applyBorder="1" applyAlignment="1">
      <alignment horizontal="left"/>
    </xf>
    <xf numFmtId="0" fontId="20" fillId="0" borderId="18" xfId="0" applyFont="1" applyFill="1" applyBorder="1"/>
    <xf numFmtId="0" fontId="0" fillId="0" borderId="3" xfId="0" applyFill="1" applyBorder="1"/>
    <xf numFmtId="0" fontId="20" fillId="0" borderId="19" xfId="0" applyFont="1" applyFill="1" applyBorder="1" applyAlignment="1">
      <alignment horizontal="left" vertical="center" wrapText="1" indent="1"/>
    </xf>
    <xf numFmtId="0" fontId="0" fillId="0" borderId="20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/>
    </xf>
    <xf numFmtId="0" fontId="0" fillId="0" borderId="21" xfId="0" applyFill="1" applyBorder="1"/>
    <xf numFmtId="0" fontId="22" fillId="0" borderId="22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left" vertical="center"/>
    </xf>
    <xf numFmtId="0" fontId="22" fillId="0" borderId="26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166" fontId="0" fillId="0" borderId="30" xfId="5" applyNumberFormat="1" applyFont="1" applyFill="1" applyBorder="1" applyAlignment="1" applyProtection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166" fontId="0" fillId="0" borderId="35" xfId="5" applyNumberFormat="1" applyFont="1" applyFill="1" applyBorder="1" applyAlignment="1" applyProtection="1">
      <alignment horizontal="center" vertical="center"/>
    </xf>
    <xf numFmtId="0" fontId="0" fillId="0" borderId="34" xfId="0" applyFill="1" applyBorder="1" applyAlignment="1">
      <alignment horizontal="left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7" xfId="0" applyFill="1" applyBorder="1" applyAlignment="1">
      <alignment horizontal="left" vertical="center"/>
    </xf>
    <xf numFmtId="166" fontId="0" fillId="0" borderId="39" xfId="5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horizontal="left" vertical="center" wrapText="1"/>
    </xf>
    <xf numFmtId="166" fontId="22" fillId="0" borderId="40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0" fontId="18" fillId="0" borderId="14" xfId="0" applyFont="1" applyFill="1" applyBorder="1" applyAlignment="1">
      <alignment vertical="center" wrapText="1"/>
    </xf>
    <xf numFmtId="0" fontId="18" fillId="0" borderId="41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vertical="center" wrapText="1"/>
    </xf>
    <xf numFmtId="0" fontId="20" fillId="0" borderId="23" xfId="0" applyFont="1" applyFill="1" applyBorder="1" applyAlignment="1">
      <alignment vertical="center" wrapText="1"/>
    </xf>
    <xf numFmtId="0" fontId="20" fillId="0" borderId="40" xfId="0" applyFont="1" applyFill="1" applyBorder="1" applyAlignment="1">
      <alignment horizontal="left" vertical="center" wrapText="1" indent="1"/>
    </xf>
    <xf numFmtId="0" fontId="13" fillId="0" borderId="4" xfId="0" applyFont="1" applyFill="1" applyBorder="1" applyAlignment="1">
      <alignment horizontal="center" vertical="center"/>
    </xf>
  </cellXfs>
  <cellStyles count="6">
    <cellStyle name="Moneda" xfId="1" builtinId="4"/>
    <cellStyle name="Moneda_AUTORIZACION Y NOTA DE PEDIDO" xfId="5"/>
    <cellStyle name="Normal" xfId="0" builtinId="0"/>
    <cellStyle name="Normal 2 2" xfId="3"/>
    <cellStyle name="Normal 2 3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COMPARTIDA\DIRECCION%20DE%20PLANIFICACION\VADEMECUM\PROGRAMACION%201ER%20TRIMESTRE%202022\DESCARTABLES\ANTISEPTIC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040 - Ministerio de Salud</v>
          </cell>
        </row>
        <row r="6">
          <cell r="C6">
            <v>2022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selection activeCell="E17" sqref="E17"/>
    </sheetView>
  </sheetViews>
  <sheetFormatPr baseColWidth="10" defaultRowHeight="15"/>
  <cols>
    <col min="1" max="1" width="4.5703125" customWidth="1"/>
    <col min="2" max="2" width="14" customWidth="1"/>
    <col min="3" max="3" width="13.28515625" customWidth="1"/>
    <col min="4" max="4" width="8.42578125" customWidth="1"/>
    <col min="5" max="5" width="93.42578125" customWidth="1"/>
    <col min="6" max="6" width="11"/>
    <col min="7" max="7" width="10.42578125" bestFit="1" customWidth="1"/>
    <col min="8" max="8" width="15.7109375" customWidth="1"/>
    <col min="9" max="9" width="18.5703125" customWidth="1"/>
    <col min="10" max="10" width="32.5703125" customWidth="1"/>
    <col min="11" max="11" width="11"/>
    <col min="12" max="12" width="12" bestFit="1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</row>
    <row r="2" spans="1:17" ht="27">
      <c r="A2" s="1"/>
      <c r="B2" s="49" t="s">
        <v>64</v>
      </c>
      <c r="C2" s="49"/>
      <c r="D2" s="49"/>
      <c r="E2" s="49"/>
      <c r="F2" s="49"/>
      <c r="G2" s="49"/>
      <c r="H2" s="49"/>
      <c r="I2" s="2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</row>
    <row r="4" spans="1:17" ht="15.75">
      <c r="A4" s="48" t="s">
        <v>0</v>
      </c>
      <c r="B4" s="48"/>
      <c r="C4" s="50" t="s">
        <v>1</v>
      </c>
      <c r="D4" s="50"/>
      <c r="E4" s="50"/>
      <c r="F4" s="4"/>
      <c r="G4" s="5"/>
      <c r="H4" s="4"/>
      <c r="I4" s="2"/>
      <c r="J4" s="1"/>
      <c r="K4" s="1"/>
      <c r="L4" s="1"/>
      <c r="M4" s="1"/>
      <c r="N4" s="1"/>
      <c r="O4" s="1"/>
      <c r="P4" s="1"/>
      <c r="Q4" s="1"/>
    </row>
    <row r="5" spans="1:17" s="43" customFormat="1" ht="15.75">
      <c r="A5" s="47" t="s">
        <v>2</v>
      </c>
      <c r="B5" s="47"/>
      <c r="C5" s="51" t="s">
        <v>61</v>
      </c>
      <c r="D5" s="51"/>
      <c r="E5" s="51"/>
      <c r="F5" s="39"/>
      <c r="G5" s="40"/>
      <c r="H5" s="39"/>
      <c r="I5" s="41"/>
      <c r="J5" s="42"/>
      <c r="K5" s="42"/>
      <c r="L5" s="42"/>
      <c r="M5" s="42"/>
      <c r="N5" s="42"/>
      <c r="O5" s="42"/>
      <c r="P5" s="42"/>
      <c r="Q5" s="42"/>
    </row>
    <row r="6" spans="1:17" ht="15.75">
      <c r="A6" s="48" t="s">
        <v>3</v>
      </c>
      <c r="B6" s="48"/>
      <c r="C6" s="3">
        <v>2022</v>
      </c>
      <c r="D6" s="6"/>
      <c r="E6" s="6"/>
      <c r="F6" s="4"/>
      <c r="G6" s="5"/>
      <c r="H6" s="4"/>
      <c r="I6" s="2"/>
      <c r="J6" s="1"/>
      <c r="K6" s="1"/>
      <c r="L6" s="1"/>
      <c r="M6" s="1"/>
      <c r="N6" s="1"/>
      <c r="O6" s="1"/>
      <c r="P6" s="1"/>
      <c r="Q6" s="1"/>
    </row>
    <row r="7" spans="1:17" s="43" customFormat="1" ht="15.75">
      <c r="A7" s="47" t="s">
        <v>4</v>
      </c>
      <c r="B7" s="47"/>
      <c r="C7" s="44">
        <v>4</v>
      </c>
      <c r="D7" s="45"/>
      <c r="E7" s="45"/>
      <c r="F7" s="39"/>
      <c r="G7" s="40"/>
      <c r="H7" s="39"/>
      <c r="I7" s="41"/>
      <c r="J7" s="42"/>
      <c r="K7" s="42"/>
      <c r="L7" s="42"/>
      <c r="M7" s="42"/>
      <c r="N7" s="42"/>
      <c r="O7" s="42"/>
      <c r="P7" s="42"/>
      <c r="Q7" s="42"/>
    </row>
    <row r="8" spans="1:17">
      <c r="A8" s="1"/>
      <c r="B8" s="4"/>
      <c r="C8" s="5"/>
      <c r="D8" s="4"/>
      <c r="E8" s="4"/>
      <c r="F8" s="4"/>
      <c r="G8" s="5"/>
      <c r="H8" s="4"/>
      <c r="I8" s="2"/>
      <c r="J8" s="1"/>
      <c r="K8" s="1"/>
      <c r="L8" s="7"/>
      <c r="M8" s="7"/>
      <c r="N8" s="1"/>
      <c r="O8" t="s">
        <v>5</v>
      </c>
      <c r="P8" s="1"/>
      <c r="Q8" s="1"/>
    </row>
    <row r="9" spans="1:17" ht="38.25">
      <c r="A9" s="31" t="s">
        <v>6</v>
      </c>
      <c r="B9" s="32" t="s">
        <v>7</v>
      </c>
      <c r="C9" s="32" t="s">
        <v>8</v>
      </c>
      <c r="D9" s="33" t="s">
        <v>9</v>
      </c>
      <c r="E9" s="34" t="s">
        <v>10</v>
      </c>
      <c r="F9" s="35" t="s">
        <v>11</v>
      </c>
      <c r="G9" s="32" t="s">
        <v>12</v>
      </c>
      <c r="H9" s="33" t="s">
        <v>13</v>
      </c>
      <c r="I9" s="36" t="s">
        <v>14</v>
      </c>
      <c r="J9" s="28"/>
      <c r="K9" s="29"/>
      <c r="L9" s="29"/>
      <c r="M9" s="1"/>
      <c r="N9" s="1"/>
      <c r="O9" s="1"/>
      <c r="P9" s="1"/>
      <c r="Q9" s="1"/>
    </row>
    <row r="10" spans="1:17" ht="60">
      <c r="A10" s="8">
        <v>4</v>
      </c>
      <c r="B10" s="13" t="s">
        <v>17</v>
      </c>
      <c r="C10" s="12" t="s">
        <v>15</v>
      </c>
      <c r="D10" s="9">
        <v>252</v>
      </c>
      <c r="E10" s="14" t="s">
        <v>18</v>
      </c>
      <c r="F10" s="8" t="s">
        <v>16</v>
      </c>
      <c r="G10" s="10">
        <v>1034</v>
      </c>
      <c r="H10" s="37">
        <v>290</v>
      </c>
      <c r="I10" s="11">
        <f t="shared" ref="I10" si="0">+G10*H10</f>
        <v>299860</v>
      </c>
      <c r="J10" s="30"/>
      <c r="K10" s="28"/>
      <c r="L10" s="28"/>
      <c r="M10" s="1"/>
      <c r="N10" s="1"/>
      <c r="O10" s="1"/>
      <c r="P10" s="1"/>
      <c r="Q10" s="1"/>
    </row>
  </sheetData>
  <mergeCells count="7">
    <mergeCell ref="A6:B6"/>
    <mergeCell ref="B2:H2"/>
    <mergeCell ref="A4:B4"/>
    <mergeCell ref="C4:E4"/>
    <mergeCell ref="A5:B5"/>
    <mergeCell ref="C5:E5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sqref="A1:K13"/>
    </sheetView>
  </sheetViews>
  <sheetFormatPr baseColWidth="10" defaultRowHeight="1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6.5" thickBot="1">
      <c r="A1" s="58" t="s">
        <v>19</v>
      </c>
      <c r="B1" s="58"/>
      <c r="C1" s="58"/>
      <c r="D1" s="58"/>
      <c r="E1" s="58"/>
      <c r="F1" s="58"/>
      <c r="G1" s="58"/>
      <c r="H1" s="58"/>
      <c r="I1" s="58"/>
      <c r="J1" s="15" t="s">
        <v>20</v>
      </c>
      <c r="K1" s="120" t="s">
        <v>21</v>
      </c>
    </row>
    <row r="2" spans="1:11" ht="16.5" thickBot="1">
      <c r="A2" s="16"/>
      <c r="B2" s="16"/>
      <c r="C2" s="16"/>
      <c r="D2" s="17"/>
      <c r="E2" s="17"/>
      <c r="F2" s="17"/>
      <c r="G2" s="17"/>
      <c r="H2" s="17"/>
      <c r="I2" s="17"/>
      <c r="J2" s="17"/>
      <c r="K2" s="17"/>
    </row>
    <row r="3" spans="1:11" ht="16.5" thickBot="1">
      <c r="A3" s="59" t="s">
        <v>22</v>
      </c>
      <c r="B3" s="59"/>
      <c r="C3" s="59"/>
      <c r="D3" s="53" t="str">
        <f>'[1]Necesidades Trimestrales'!C4</f>
        <v>040 - Ministerio de Salud</v>
      </c>
      <c r="E3" s="53"/>
      <c r="F3" s="53"/>
      <c r="G3" s="53"/>
      <c r="H3" s="53"/>
      <c r="I3" s="53"/>
      <c r="J3" s="53"/>
      <c r="K3" s="53"/>
    </row>
    <row r="4" spans="1:11" ht="16.5" thickBot="1">
      <c r="A4" s="65" t="s">
        <v>23</v>
      </c>
      <c r="B4" s="65"/>
      <c r="C4" s="65"/>
      <c r="D4" s="66" t="s">
        <v>62</v>
      </c>
      <c r="E4" s="66"/>
      <c r="F4" s="66"/>
      <c r="G4" s="66"/>
      <c r="H4" s="66"/>
      <c r="I4" s="66"/>
      <c r="J4" s="66"/>
      <c r="K4" s="66"/>
    </row>
    <row r="5" spans="1:11" ht="16.5" thickBot="1">
      <c r="A5" s="65" t="s">
        <v>24</v>
      </c>
      <c r="B5" s="65"/>
      <c r="C5" s="65"/>
      <c r="D5" s="66" t="s">
        <v>63</v>
      </c>
      <c r="E5" s="66"/>
      <c r="F5" s="66"/>
      <c r="G5" s="66"/>
      <c r="H5" s="66"/>
      <c r="I5" s="66"/>
      <c r="J5" s="66"/>
      <c r="K5" s="66"/>
    </row>
    <row r="6" spans="1:11" ht="16.5" thickBot="1">
      <c r="A6" s="67" t="s">
        <v>25</v>
      </c>
      <c r="B6" s="67"/>
      <c r="C6" s="67"/>
      <c r="D6" s="66" t="s">
        <v>63</v>
      </c>
      <c r="E6" s="66"/>
      <c r="F6" s="66"/>
      <c r="G6" s="66"/>
      <c r="H6" s="66"/>
      <c r="I6" s="66"/>
      <c r="J6" s="66"/>
      <c r="K6" s="66"/>
    </row>
    <row r="7" spans="1:11" ht="16.5" thickBot="1">
      <c r="A7" s="65" t="s">
        <v>26</v>
      </c>
      <c r="B7" s="65"/>
      <c r="C7" s="65"/>
      <c r="D7" s="66" t="s">
        <v>27</v>
      </c>
      <c r="E7" s="66"/>
      <c r="F7" s="66"/>
      <c r="G7" s="66"/>
      <c r="H7" s="66"/>
      <c r="I7" s="66"/>
      <c r="J7" s="66"/>
      <c r="K7" s="66"/>
    </row>
    <row r="8" spans="1:11" ht="16.5" thickBot="1">
      <c r="A8" s="68" t="s">
        <v>28</v>
      </c>
      <c r="B8" s="68"/>
      <c r="C8" s="68"/>
      <c r="D8" s="69" t="s">
        <v>66</v>
      </c>
      <c r="E8" s="69"/>
      <c r="F8" s="69"/>
      <c r="G8" s="69"/>
      <c r="H8" s="69"/>
      <c r="I8" s="69"/>
      <c r="J8" s="69"/>
      <c r="K8" s="69"/>
    </row>
    <row r="9" spans="1:11" ht="16.5" thickBot="1">
      <c r="A9" s="18"/>
      <c r="B9" s="18"/>
      <c r="C9" s="18"/>
      <c r="D9" s="19"/>
      <c r="E9" s="19"/>
      <c r="F9" s="19"/>
      <c r="G9" s="19"/>
      <c r="H9" s="19"/>
      <c r="I9" s="19"/>
      <c r="J9" s="19"/>
      <c r="K9" s="19"/>
    </row>
    <row r="10" spans="1:11" ht="15.75" thickBot="1">
      <c r="A10" s="57" t="s">
        <v>29</v>
      </c>
      <c r="B10" s="56" t="s">
        <v>30</v>
      </c>
      <c r="C10" s="56" t="s">
        <v>31</v>
      </c>
      <c r="D10" s="56"/>
      <c r="E10" s="56"/>
      <c r="F10" s="56"/>
      <c r="G10" s="56"/>
      <c r="H10" s="56" t="s">
        <v>32</v>
      </c>
      <c r="I10" s="56" t="s">
        <v>33</v>
      </c>
      <c r="J10" s="56" t="s">
        <v>34</v>
      </c>
      <c r="K10" s="54" t="s">
        <v>35</v>
      </c>
    </row>
    <row r="11" spans="1:11" ht="32.25" customHeight="1" thickBot="1">
      <c r="A11" s="57"/>
      <c r="B11" s="56"/>
      <c r="C11" s="56"/>
      <c r="D11" s="56"/>
      <c r="E11" s="56"/>
      <c r="F11" s="56"/>
      <c r="G11" s="56"/>
      <c r="H11" s="56"/>
      <c r="I11" s="56"/>
      <c r="J11" s="56"/>
      <c r="K11" s="54"/>
    </row>
    <row r="12" spans="1:11" ht="15.75" customHeight="1" thickBot="1">
      <c r="A12" s="20">
        <v>4</v>
      </c>
      <c r="B12" s="20" t="str">
        <f>'NECESIDADES TRIMESTRALES'!B10</f>
        <v>2.5.2-711.15</v>
      </c>
      <c r="C12" s="55" t="str">
        <f>'NECESIDADES TRIMESTRALES'!E10</f>
        <v>ALCOHOL USO MEDICINAL; PUREZA: 70 %, PRESENTACION: ENVASE X 1 L</v>
      </c>
      <c r="D12" s="55"/>
      <c r="E12" s="55"/>
      <c r="F12" s="55"/>
      <c r="G12" s="55"/>
      <c r="H12" s="23" t="s">
        <v>36</v>
      </c>
      <c r="I12" s="21" t="str">
        <f>'NECESIDADES TRIMESTRALES'!F10</f>
        <v>BOTELLA</v>
      </c>
      <c r="J12" s="38">
        <f>'NECESIDADES TRIMESTRALES'!H10</f>
        <v>290</v>
      </c>
      <c r="K12" s="22">
        <v>1034</v>
      </c>
    </row>
    <row r="13" spans="1:11" ht="16.5" thickBot="1">
      <c r="A13" s="53" t="s">
        <v>65</v>
      </c>
      <c r="B13" s="53"/>
      <c r="C13" s="53"/>
      <c r="D13" s="53"/>
      <c r="E13" s="53"/>
      <c r="F13" s="53"/>
      <c r="G13" s="53"/>
      <c r="H13" s="53"/>
      <c r="I13" s="53"/>
      <c r="J13" s="52">
        <f>SUMPRODUCT(J12:J12,K12:K12)</f>
        <v>299860</v>
      </c>
      <c r="K13" s="52"/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J10:J11"/>
    <mergeCell ref="J13:K13"/>
    <mergeCell ref="A13:I13"/>
  </mergeCells>
  <pageMargins left="0" right="0" top="0.74803149606299213" bottom="0.74803149606299213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>
      <selection activeCell="U10" sqref="U10"/>
    </sheetView>
  </sheetViews>
  <sheetFormatPr baseColWidth="10" defaultRowHeight="15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</cols>
  <sheetData>
    <row r="1" spans="1:18" ht="15.75" thickBot="1">
      <c r="A1" s="60" t="s">
        <v>3</v>
      </c>
      <c r="B1" s="60"/>
      <c r="C1" s="60"/>
      <c r="D1" s="61">
        <f>'[1]Necesidades Trimestrales'!C6</f>
        <v>2022</v>
      </c>
      <c r="E1" s="61"/>
      <c r="F1" s="24"/>
      <c r="G1" s="24"/>
      <c r="H1" s="25"/>
      <c r="I1" s="25"/>
      <c r="J1" s="25"/>
      <c r="K1" s="25"/>
      <c r="L1" s="25"/>
      <c r="M1" s="25"/>
      <c r="N1" s="25"/>
      <c r="P1" s="62" t="s">
        <v>37</v>
      </c>
      <c r="Q1" s="62"/>
    </row>
    <row r="2" spans="1:18" ht="15.75" thickBot="1">
      <c r="G2" s="26"/>
      <c r="H2" s="25"/>
      <c r="I2" s="25"/>
      <c r="J2" s="25"/>
      <c r="K2" s="25"/>
      <c r="L2" s="25"/>
      <c r="M2" s="25"/>
      <c r="N2" s="25"/>
      <c r="P2" s="62"/>
      <c r="Q2" s="62"/>
    </row>
    <row r="3" spans="1:18" ht="15.75" thickBot="1">
      <c r="G3" s="26"/>
    </row>
    <row r="4" spans="1:18" ht="15.75" thickBot="1">
      <c r="A4" s="63" t="s">
        <v>38</v>
      </c>
      <c r="B4" s="63"/>
      <c r="C4" s="63"/>
      <c r="D4" s="63"/>
      <c r="E4" s="63"/>
      <c r="F4" s="63"/>
      <c r="G4" s="64" t="str">
        <f>#REF!</f>
        <v>040 - Ministerio de Salud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27"/>
    </row>
    <row r="5" spans="1:18" ht="15.75" thickBot="1">
      <c r="A5" s="70" t="s">
        <v>23</v>
      </c>
      <c r="B5" s="71"/>
      <c r="C5" s="71"/>
      <c r="D5" s="71"/>
      <c r="E5" s="71"/>
      <c r="F5" s="72"/>
      <c r="G5" s="73" t="s">
        <v>62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27"/>
    </row>
    <row r="6" spans="1:18" ht="15.75" thickBot="1">
      <c r="A6" s="70" t="s">
        <v>24</v>
      </c>
      <c r="B6" s="71"/>
      <c r="C6" s="71"/>
      <c r="D6" s="71"/>
      <c r="E6" s="71"/>
      <c r="F6" s="72"/>
      <c r="G6" s="73" t="s">
        <v>63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27"/>
    </row>
    <row r="7" spans="1:18" ht="15.75" thickBot="1">
      <c r="A7" s="70" t="s">
        <v>25</v>
      </c>
      <c r="B7" s="71"/>
      <c r="C7" s="71"/>
      <c r="D7" s="71"/>
      <c r="E7" s="71"/>
      <c r="F7" s="72"/>
      <c r="G7" s="73" t="s">
        <v>63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27"/>
    </row>
    <row r="8" spans="1:18" ht="15.75" thickBot="1">
      <c r="A8" s="74" t="s">
        <v>39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</row>
    <row r="9" spans="1:18" ht="21.75" customHeight="1">
      <c r="A9" s="75" t="s">
        <v>40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43"/>
      <c r="P9" s="43"/>
      <c r="Q9" s="76"/>
    </row>
    <row r="10" spans="1:18" ht="58.5" customHeight="1">
      <c r="A10" s="77" t="str">
        <f>"Autorizo la realización de los  trámites correspondientes, a fin de proveer a  este Organismo los bienes y/o servicios que se detallan en Nota  de Pedido N° " &amp;#REF!&amp;",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8" ht="15.75" thickBot="1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1"/>
    </row>
    <row r="12" spans="1:18" ht="15.75" thickBot="1">
      <c r="A12" s="82" t="s">
        <v>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</row>
    <row r="13" spans="1:18" ht="15.75" thickBot="1">
      <c r="A13" s="83" t="s">
        <v>42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4" t="s">
        <v>43</v>
      </c>
      <c r="P13" s="84"/>
      <c r="Q13" s="85" t="s">
        <v>44</v>
      </c>
    </row>
    <row r="14" spans="1:18" ht="15.75" thickBot="1">
      <c r="A14" s="86" t="s">
        <v>45</v>
      </c>
      <c r="B14" s="87" t="s">
        <v>46</v>
      </c>
      <c r="C14" s="87" t="s">
        <v>47</v>
      </c>
      <c r="D14" s="87" t="s">
        <v>48</v>
      </c>
      <c r="E14" s="87" t="s">
        <v>49</v>
      </c>
      <c r="F14" s="87" t="s">
        <v>50</v>
      </c>
      <c r="G14" s="88" t="s">
        <v>51</v>
      </c>
      <c r="H14" s="87" t="s">
        <v>52</v>
      </c>
      <c r="I14" s="87" t="s">
        <v>53</v>
      </c>
      <c r="J14" s="87" t="s">
        <v>54</v>
      </c>
      <c r="K14" s="87" t="s">
        <v>54</v>
      </c>
      <c r="L14" s="87" t="s">
        <v>55</v>
      </c>
      <c r="M14" s="89" t="s">
        <v>56</v>
      </c>
      <c r="N14" s="90" t="s">
        <v>57</v>
      </c>
      <c r="O14" s="84"/>
      <c r="P14" s="84"/>
      <c r="Q14" s="85"/>
    </row>
    <row r="15" spans="1:18" ht="30.75" customHeight="1">
      <c r="A15" s="91">
        <v>62</v>
      </c>
      <c r="B15" s="92"/>
      <c r="C15" s="92"/>
      <c r="D15" s="92">
        <v>1</v>
      </c>
      <c r="E15" s="92"/>
      <c r="F15" s="92">
        <v>4901</v>
      </c>
      <c r="G15" s="92">
        <v>3</v>
      </c>
      <c r="H15" s="92">
        <v>310</v>
      </c>
      <c r="I15" s="92">
        <v>2</v>
      </c>
      <c r="J15" s="92">
        <v>5</v>
      </c>
      <c r="K15" s="92">
        <v>2</v>
      </c>
      <c r="L15" s="92"/>
      <c r="M15" s="93">
        <v>1</v>
      </c>
      <c r="N15" s="94" t="s">
        <v>58</v>
      </c>
      <c r="O15" s="95" t="s">
        <v>60</v>
      </c>
      <c r="P15" s="96"/>
      <c r="Q15" s="97">
        <f>1034*290</f>
        <v>299860</v>
      </c>
    </row>
    <row r="16" spans="1:18" ht="18.75" customHeight="1">
      <c r="A16" s="9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99"/>
      <c r="N16" s="100"/>
      <c r="O16" s="102"/>
      <c r="P16" s="102"/>
      <c r="Q16" s="101"/>
    </row>
    <row r="17" spans="1:17">
      <c r="A17" s="98"/>
      <c r="B17" s="46"/>
      <c r="C17" s="46"/>
      <c r="D17" s="46"/>
      <c r="E17" s="46"/>
      <c r="F17" s="100"/>
      <c r="G17" s="46"/>
      <c r="H17" s="46"/>
      <c r="I17" s="46"/>
      <c r="J17" s="46"/>
      <c r="K17" s="46"/>
      <c r="L17" s="46"/>
      <c r="M17" s="99"/>
      <c r="N17" s="100"/>
      <c r="O17" s="102"/>
      <c r="P17" s="102"/>
      <c r="Q17" s="101"/>
    </row>
    <row r="18" spans="1:17">
      <c r="A18" s="9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99"/>
      <c r="N18" s="100"/>
      <c r="O18" s="102"/>
      <c r="P18" s="102"/>
      <c r="Q18" s="101"/>
    </row>
    <row r="19" spans="1:17">
      <c r="A19" s="98"/>
      <c r="B19" s="46"/>
      <c r="C19" s="46"/>
      <c r="D19" s="46"/>
      <c r="E19" s="46"/>
      <c r="F19" s="100"/>
      <c r="G19" s="46"/>
      <c r="H19" s="46"/>
      <c r="I19" s="46"/>
      <c r="J19" s="46"/>
      <c r="K19" s="46"/>
      <c r="L19" s="46"/>
      <c r="M19" s="99"/>
      <c r="N19" s="100"/>
      <c r="O19" s="102"/>
      <c r="P19" s="102"/>
      <c r="Q19" s="101"/>
    </row>
    <row r="20" spans="1:17">
      <c r="A20" s="98"/>
      <c r="B20" s="46"/>
      <c r="C20" s="46"/>
      <c r="D20" s="46"/>
      <c r="E20" s="46"/>
      <c r="F20" s="100"/>
      <c r="G20" s="46"/>
      <c r="H20" s="46"/>
      <c r="I20" s="46"/>
      <c r="J20" s="46"/>
      <c r="K20" s="46"/>
      <c r="L20" s="46"/>
      <c r="M20" s="99"/>
      <c r="N20" s="100"/>
      <c r="O20" s="102"/>
      <c r="P20" s="102"/>
      <c r="Q20" s="101"/>
    </row>
    <row r="21" spans="1:17">
      <c r="A21" s="103"/>
      <c r="B21" s="104"/>
      <c r="C21" s="104"/>
      <c r="D21" s="104"/>
      <c r="E21" s="104"/>
      <c r="F21" s="100"/>
      <c r="G21" s="104"/>
      <c r="H21" s="104"/>
      <c r="I21" s="104"/>
      <c r="J21" s="104"/>
      <c r="K21" s="104"/>
      <c r="L21" s="104"/>
      <c r="M21" s="105"/>
      <c r="N21" s="106"/>
      <c r="O21" s="102"/>
      <c r="P21" s="102"/>
      <c r="Q21" s="101"/>
    </row>
    <row r="22" spans="1:17" ht="15.75" thickBot="1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10"/>
      <c r="P22" s="110"/>
      <c r="Q22" s="111"/>
    </row>
    <row r="23" spans="1:17" ht="15.75" thickBot="1">
      <c r="A23" s="112" t="s">
        <v>67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3">
        <f>SUM(Q15:Q22)</f>
        <v>299860</v>
      </c>
    </row>
    <row r="24" spans="1:17" ht="15.75" thickBo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7" ht="15.75" thickBot="1">
      <c r="A25" s="115" t="s">
        <v>59</v>
      </c>
      <c r="B25" s="116"/>
      <c r="C25" s="116"/>
      <c r="D25" s="116"/>
      <c r="E25" s="116"/>
      <c r="F25" s="117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7" ht="15.75" thickBot="1">
      <c r="A26" s="119" t="s">
        <v>66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7" ht="15.75" thickBot="1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 spans="1:17">
      <c r="G28" s="26"/>
    </row>
    <row r="29" spans="1:17">
      <c r="G29" s="26"/>
    </row>
    <row r="30" spans="1:17">
      <c r="G30" s="26"/>
    </row>
    <row r="31" spans="1:17">
      <c r="G31" s="26"/>
    </row>
    <row r="32" spans="1:17">
      <c r="G32" s="26"/>
    </row>
    <row r="33" spans="7:7">
      <c r="G33" s="26"/>
    </row>
    <row r="34" spans="7:7">
      <c r="G34" s="26"/>
    </row>
    <row r="35" spans="7:7">
      <c r="G35" s="26"/>
    </row>
    <row r="36" spans="7:7">
      <c r="G36" s="26"/>
    </row>
    <row r="37" spans="7:7">
      <c r="G37" s="26"/>
    </row>
    <row r="38" spans="7:7">
      <c r="G38" s="26"/>
    </row>
    <row r="39" spans="7:7">
      <c r="G39" s="26"/>
    </row>
    <row r="40" spans="7:7">
      <c r="G40" s="26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ageMargins left="0" right="0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 DE PEDIDO</vt:lpstr>
      <vt:lpstr>AUTORIZACION PARA GASTAR</vt:lpstr>
      <vt:lpstr>'AUTORIZACION PARA GASTAR'!Área_de_impresión</vt:lpstr>
      <vt:lpstr>'NOTA DE PEDIDO'!Área_de_impresión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Usuario</cp:lastModifiedBy>
  <cp:lastPrinted>2022-10-26T14:19:15Z</cp:lastPrinted>
  <dcterms:created xsi:type="dcterms:W3CDTF">2022-01-31T23:00:31Z</dcterms:created>
  <dcterms:modified xsi:type="dcterms:W3CDTF">2022-10-26T14:19:39Z</dcterms:modified>
</cp:coreProperties>
</file>